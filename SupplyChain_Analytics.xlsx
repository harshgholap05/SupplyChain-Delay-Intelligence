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B73BE4C7-C331-4260-B30D-3A283267C36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📊 KPI Dashboard" sheetId="1" r:id="rId1"/>
    <sheet name="📦 PO Data" sheetId="2" r:id="rId2"/>
    <sheet name="🏭 Supplier Scorecard" sheetId="3" r:id="rId3"/>
    <sheet name="🔍 Root Cause" sheetId="4" r:id="rId4"/>
    <sheet name="📅 Monthly Trend" sheetId="5" r:id="rId5"/>
    <sheet name="🏪 Inventory Health" sheetId="6" r:id="rId6"/>
  </sheets>
  <definedNames>
    <definedName name="_xlnm._FilterDatabase" localSheetId="5" hidden="1">'🏪 Inventory Health'!$A$2:$G$2</definedName>
    <definedName name="_xlnm._FilterDatabase" localSheetId="1" hidden="1">'📦 PO Data'!$A$1:$S$1</definedName>
  </definedNames>
  <calcPr calcId="0"/>
</workbook>
</file>

<file path=xl/sharedStrings.xml><?xml version="1.0" encoding="utf-8"?>
<sst xmlns="http://schemas.openxmlformats.org/spreadsheetml/2006/main" count="1688" uniqueCount="240">
  <si>
    <t>SUPPLY CHAIN DELAY INTELLIGENCE SYSTEM — OPERATIONAL DASHBOARD</t>
  </si>
  <si>
    <t>Generated: 24 May 2026   |   Data Period: Jan 2024 – Present</t>
  </si>
  <si>
    <t>Total Orders</t>
  </si>
  <si>
    <t>Delivered</t>
  </si>
  <si>
    <t>On-Time %</t>
  </si>
  <si>
    <t>Delayed Orders</t>
  </si>
  <si>
    <t>Critical Delays</t>
  </si>
  <si>
    <t>Avg Delay Days</t>
  </si>
  <si>
    <t>Total Order Value</t>
  </si>
  <si>
    <t>Delay Impact</t>
  </si>
  <si>
    <t xml:space="preserve">  Monthly Delay Trend</t>
  </si>
  <si>
    <t xml:space="preserve">  Supplier Performance</t>
  </si>
  <si>
    <t>Month</t>
  </si>
  <si>
    <t>Delayed</t>
  </si>
  <si>
    <t>Delay Rate %</t>
  </si>
  <si>
    <t>Supplier</t>
  </si>
  <si>
    <t>Country</t>
  </si>
  <si>
    <t>Category</t>
  </si>
  <si>
    <t>Total</t>
  </si>
  <si>
    <t>Status</t>
  </si>
  <si>
    <t>2025-06</t>
  </si>
  <si>
    <t>GlobalRaw Mat.</t>
  </si>
  <si>
    <t>Aus</t>
  </si>
  <si>
    <t>Raw Materials</t>
  </si>
  <si>
    <t>🔴 Risk</t>
  </si>
  <si>
    <t>2025-07</t>
  </si>
  <si>
    <t>AfriSource Ltd</t>
  </si>
  <si>
    <t>S.Africa</t>
  </si>
  <si>
    <t>2025-08</t>
  </si>
  <si>
    <t>Nordic Components</t>
  </si>
  <si>
    <t>Sweden</t>
  </si>
  <si>
    <t>Electronics</t>
  </si>
  <si>
    <t>2025-09</t>
  </si>
  <si>
    <t>SwiftLogistics</t>
  </si>
  <si>
    <t>Germany</t>
  </si>
  <si>
    <t>2025-10</t>
  </si>
  <si>
    <t>MetalWorks SH</t>
  </si>
  <si>
    <t>China</t>
  </si>
  <si>
    <t>2025-11</t>
  </si>
  <si>
    <t>EastWest Traders</t>
  </si>
  <si>
    <t>Vietnam</t>
  </si>
  <si>
    <t>Textiles</t>
  </si>
  <si>
    <t>2025-12</t>
  </si>
  <si>
    <t>PackEdge India</t>
  </si>
  <si>
    <t>India</t>
  </si>
  <si>
    <t>Packaging</t>
  </si>
  <si>
    <t>2026-01</t>
  </si>
  <si>
    <t>TechParts Asia</t>
  </si>
  <si>
    <t>2026-02</t>
  </si>
  <si>
    <t>SunFarm Agro</t>
  </si>
  <si>
    <t>Agri Products</t>
  </si>
  <si>
    <t>2026-03</t>
  </si>
  <si>
    <t>Apex Chemical</t>
  </si>
  <si>
    <t>USA</t>
  </si>
  <si>
    <t>Chemicals</t>
  </si>
  <si>
    <t>2026-04</t>
  </si>
  <si>
    <t>2026-05</t>
  </si>
  <si>
    <t>PO Number</t>
  </si>
  <si>
    <t>Order Date</t>
  </si>
  <si>
    <t>Product</t>
  </si>
  <si>
    <t>Product Cat</t>
  </si>
  <si>
    <t>Warehouse</t>
  </si>
  <si>
    <t>Expected Date</t>
  </si>
  <si>
    <t>Actual Date</t>
  </si>
  <si>
    <t>Qty</t>
  </si>
  <si>
    <t>Unit Price</t>
  </si>
  <si>
    <t>Order Value</t>
  </si>
  <si>
    <t>Delay Days</t>
  </si>
  <si>
    <t>Delay Reason</t>
  </si>
  <si>
    <t>Carrier</t>
  </si>
  <si>
    <t>Ship Mode</t>
  </si>
  <si>
    <t>Freight Cost</t>
  </si>
  <si>
    <t>PO-2024-0001</t>
  </si>
  <si>
    <t>Microcontroller v3</t>
  </si>
  <si>
    <t>Pune</t>
  </si>
  <si>
    <t>Customs Hold</t>
  </si>
  <si>
    <t>Blue Dart</t>
  </si>
  <si>
    <t>Air</t>
  </si>
  <si>
    <t>PO-2024-0002</t>
  </si>
  <si>
    <t>Basmati Rice Grade A</t>
  </si>
  <si>
    <t>Mumbai</t>
  </si>
  <si>
    <t>On Time</t>
  </si>
  <si>
    <t>DHL Express</t>
  </si>
  <si>
    <t>Sea</t>
  </si>
  <si>
    <t>PO-2024-0003</t>
  </si>
  <si>
    <t>Kolkata</t>
  </si>
  <si>
    <t>Supplier Delay</t>
  </si>
  <si>
    <t>Maersk</t>
  </si>
  <si>
    <t>PO-2024-0004</t>
  </si>
  <si>
    <t>Industrial Solvent</t>
  </si>
  <si>
    <t>Delhi</t>
  </si>
  <si>
    <t>Transport Strike</t>
  </si>
  <si>
    <t>PO-2024-0005</t>
  </si>
  <si>
    <t>IoT Sensor Module</t>
  </si>
  <si>
    <t>Pending</t>
  </si>
  <si>
    <t>Road</t>
  </si>
  <si>
    <t>PO-2024-0006</t>
  </si>
  <si>
    <t>PCB Assembly A</t>
  </si>
  <si>
    <t>Rail</t>
  </si>
  <si>
    <t>PO-2024-0007</t>
  </si>
  <si>
    <t>Steel Rod 12mm</t>
  </si>
  <si>
    <t>Bangalore</t>
  </si>
  <si>
    <t>Weather</t>
  </si>
  <si>
    <t>PO-2024-0008</t>
  </si>
  <si>
    <t>Chennai</t>
  </si>
  <si>
    <t>PO-2024-0009</t>
  </si>
  <si>
    <t>PO-2024-0010</t>
  </si>
  <si>
    <t>Ahmedabad</t>
  </si>
  <si>
    <t>PO-2024-0011</t>
  </si>
  <si>
    <t>Carrier Capacity</t>
  </si>
  <si>
    <t>PO-2024-0012</t>
  </si>
  <si>
    <t>PO-2024-0013</t>
  </si>
  <si>
    <t>Documentation Error</t>
  </si>
  <si>
    <t>PO-2024-0014</t>
  </si>
  <si>
    <t>Bubble Wrap 50m</t>
  </si>
  <si>
    <t>Cancelled</t>
  </si>
  <si>
    <t>PO-2024-0015</t>
  </si>
  <si>
    <t>Port Congestion</t>
  </si>
  <si>
    <t>In-Transit</t>
  </si>
  <si>
    <t>PO-2024-0016</t>
  </si>
  <si>
    <t>DTDC</t>
  </si>
  <si>
    <t>PO-2024-0017</t>
  </si>
  <si>
    <t>Hyderabad</t>
  </si>
  <si>
    <t>PO-2024-0018</t>
  </si>
  <si>
    <t>FedEx</t>
  </si>
  <si>
    <t>PO-2024-0019</t>
  </si>
  <si>
    <t>Aluminium Sheet 3mm</t>
  </si>
  <si>
    <t>PO-2024-0020</t>
  </si>
  <si>
    <t>PO-2024-0021</t>
  </si>
  <si>
    <t>Quality Rejection</t>
  </si>
  <si>
    <t>PO-2024-0022</t>
  </si>
  <si>
    <t>PO-2024-0023</t>
  </si>
  <si>
    <t>PO-2024-0024</t>
  </si>
  <si>
    <t>PO-2024-0025</t>
  </si>
  <si>
    <t>PO-2024-0026</t>
  </si>
  <si>
    <t>PO-2024-0027</t>
  </si>
  <si>
    <t>Copper Wire Spool</t>
  </si>
  <si>
    <t>PO-2024-0028</t>
  </si>
  <si>
    <t>PO-2024-0029</t>
  </si>
  <si>
    <t>PO-2024-0030</t>
  </si>
  <si>
    <t>PO-2024-0031</t>
  </si>
  <si>
    <t>PO-2024-0032</t>
  </si>
  <si>
    <t>Polyester Fabric</t>
  </si>
  <si>
    <t>PO-2024-0033</t>
  </si>
  <si>
    <t>PO-2024-0034</t>
  </si>
  <si>
    <t>PO-2024-0035</t>
  </si>
  <si>
    <t>PO-2024-0036</t>
  </si>
  <si>
    <t>PO-2024-0037</t>
  </si>
  <si>
    <t>PO-2024-0038</t>
  </si>
  <si>
    <t>PO-2024-0039</t>
  </si>
  <si>
    <t>PO-2024-0040</t>
  </si>
  <si>
    <t>PO-2024-0041</t>
  </si>
  <si>
    <t>PO-2024-0042</t>
  </si>
  <si>
    <t>PO-2024-0043</t>
  </si>
  <si>
    <t>PO-2024-0044</t>
  </si>
  <si>
    <t>PO-2024-0045</t>
  </si>
  <si>
    <t>PO-2024-0046</t>
  </si>
  <si>
    <t>PO-2024-0047</t>
  </si>
  <si>
    <t>PO-2024-0048</t>
  </si>
  <si>
    <t>PO-2024-0049</t>
  </si>
  <si>
    <t>PO-2024-0050</t>
  </si>
  <si>
    <t>PO-2024-0051</t>
  </si>
  <si>
    <t>PO-2024-0052</t>
  </si>
  <si>
    <t>PO-2024-0053</t>
  </si>
  <si>
    <t>PO-2024-0054</t>
  </si>
  <si>
    <t>PO-2024-0055</t>
  </si>
  <si>
    <t>PO-2024-0056</t>
  </si>
  <si>
    <t>PO-2024-0057</t>
  </si>
  <si>
    <t>PO-2024-0058</t>
  </si>
  <si>
    <t>PO-2024-0059</t>
  </si>
  <si>
    <t>PO-2024-0060</t>
  </si>
  <si>
    <t>PO-2024-0061</t>
  </si>
  <si>
    <t>PO-2024-0062</t>
  </si>
  <si>
    <t>PO-2024-0063</t>
  </si>
  <si>
    <t>PO-2024-0064</t>
  </si>
  <si>
    <t>PO-2024-0065</t>
  </si>
  <si>
    <t>PO-2024-0066</t>
  </si>
  <si>
    <t>PO-2024-0067</t>
  </si>
  <si>
    <t>PO-2024-0068</t>
  </si>
  <si>
    <t>PO-2024-0069</t>
  </si>
  <si>
    <t>PO-2024-0070</t>
  </si>
  <si>
    <t>PO-2024-0071</t>
  </si>
  <si>
    <t>PO-2024-0072</t>
  </si>
  <si>
    <t>PO-2024-0073</t>
  </si>
  <si>
    <t>PO-2024-0074</t>
  </si>
  <si>
    <t>PO-2024-0075</t>
  </si>
  <si>
    <t>PO-2024-0076</t>
  </si>
  <si>
    <t>PO-2024-0077</t>
  </si>
  <si>
    <t>PO-2024-0078</t>
  </si>
  <si>
    <t>PO-2024-0079</t>
  </si>
  <si>
    <t>PO-2024-0080</t>
  </si>
  <si>
    <t>PO-2024-0081</t>
  </si>
  <si>
    <t>PO-2024-0082</t>
  </si>
  <si>
    <t>PO-2024-0083</t>
  </si>
  <si>
    <t>PO-2024-0084</t>
  </si>
  <si>
    <t>PO-2024-0085</t>
  </si>
  <si>
    <t>PO-2024-0086</t>
  </si>
  <si>
    <t>PO-2024-0087</t>
  </si>
  <si>
    <t>PO-2024-0088</t>
  </si>
  <si>
    <t>PO-2024-0089</t>
  </si>
  <si>
    <t>PO-2024-0090</t>
  </si>
  <si>
    <t>PO-2024-0091</t>
  </si>
  <si>
    <t>PO-2024-0092</t>
  </si>
  <si>
    <t>PO-2024-0093</t>
  </si>
  <si>
    <t>PO-2024-0094</t>
  </si>
  <si>
    <t>PO-2024-0095</t>
  </si>
  <si>
    <t>PO-2024-0096</t>
  </si>
  <si>
    <t>PO-2024-0097</t>
  </si>
  <si>
    <t>PO-2024-0098</t>
  </si>
  <si>
    <t>PO-2024-0099</t>
  </si>
  <si>
    <t>PO-2024-0100</t>
  </si>
  <si>
    <t>SUPPLIER PERFORMANCE SCORECARD</t>
  </si>
  <si>
    <t>Performance</t>
  </si>
  <si>
    <t>🔴 Poor</t>
  </si>
  <si>
    <t>DELAY ROOT CAUSE ANALYSIS (PARETO)</t>
  </si>
  <si>
    <t>Occurrences</t>
  </si>
  <si>
    <t>% of Delays</t>
  </si>
  <si>
    <t>Impact Value (₹)</t>
  </si>
  <si>
    <t>Cumulative %</t>
  </si>
  <si>
    <t>MONTHLY DELAY TREND ANALYSIS</t>
  </si>
  <si>
    <t>On-Time Orders</t>
  </si>
  <si>
    <t>Total Impact (₹)</t>
  </si>
  <si>
    <t>2025-05</t>
  </si>
  <si>
    <t>INVENTORY HEALTH MONITOR</t>
  </si>
  <si>
    <t>SKU</t>
  </si>
  <si>
    <t>Stock On Hand</t>
  </si>
  <si>
    <t>Reorder Level</t>
  </si>
  <si>
    <t>MCU-V3-001</t>
  </si>
  <si>
    <t>🟢 Adequate</t>
  </si>
  <si>
    <t>🟠 Below Reorder</t>
  </si>
  <si>
    <t>ALU-3MM</t>
  </si>
  <si>
    <t>PKG-BW</t>
  </si>
  <si>
    <t>🟡 Near Reorder</t>
  </si>
  <si>
    <t>PCB-AA</t>
  </si>
  <si>
    <t>TEX-PF</t>
  </si>
  <si>
    <t>CHM-SX</t>
  </si>
  <si>
    <t>AGR-BR</t>
  </si>
  <si>
    <t>STL-12</t>
  </si>
  <si>
    <t>SEN-I7</t>
  </si>
  <si>
    <t>CPR-WR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</si>
</sst>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10"/>
      <color rgb="FF666666"/>
      <name val="Arial"/>
    </font>
    <font>
      <b/>
      <sz val="9"/>
      <color rgb="FFFFFFFF"/>
      <name val="Arial"/>
    </font>
    <font>
      <b/>
      <sz val="14"/>
      <color rgb="FF1F3864"/>
      <name val="Arial"/>
    </font>
    <font>
      <b/>
      <sz val="14"/>
      <color rgb="FF1A7A4E"/>
      <name val="Arial"/>
    </font>
    <font>
      <b/>
      <sz val="14"/>
      <color rgb="FFB8402A"/>
      <name val="Arial"/>
    </font>
    <font>
      <b/>
      <sz val="14"/>
      <color rgb="FF8B0000"/>
      <name val="Arial"/>
    </font>
    <font>
      <b/>
      <sz val="14"/>
      <color rgb="FFC56A2E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color rgb="FF1F1F1F"/>
      <name val="Arial"/>
    </font>
    <font>
      <b/>
      <sz val="11"/>
      <color rgb="FFFFFFFF"/>
      <name val="Arial"/>
    </font>
    <font>
      <sz val="9"/>
      <color rgb="FF1F1F1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0F4FF"/>
      </patternFill>
    </fill>
    <fill>
      <patternFill patternType="solid">
        <fgColor rgb="FF1A7A4E"/>
      </patternFill>
    </fill>
    <fill>
      <patternFill patternType="solid">
        <fgColor rgb="FFB8402A"/>
      </patternFill>
    </fill>
    <fill>
      <patternFill patternType="solid">
        <fgColor rgb="FF8B0000"/>
      </patternFill>
    </fill>
    <fill>
      <patternFill patternType="solid">
        <fgColor rgb="FFC56A2E"/>
      </patternFill>
    </fill>
    <fill>
      <patternFill patternType="solid">
        <fgColor rgb="FFD9E1F2"/>
      </patternFill>
    </fill>
    <fill>
      <patternFill patternType="solid">
        <fgColor rgb="FFF2F7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left"/>
    </xf>
    <xf numFmtId="164" fontId="13" fillId="9" borderId="1" xfId="0" applyNumberFormat="1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164" fontId="13" fillId="9" borderId="1" xfId="0" applyNumberFormat="1" applyFont="1" applyFill="1" applyBorder="1" applyAlignment="1">
      <alignment horizontal="left"/>
    </xf>
    <xf numFmtId="4" fontId="13" fillId="9" borderId="1" xfId="0" applyNumberFormat="1" applyFont="1" applyFill="1" applyBorder="1" applyAlignment="1">
      <alignment horizontal="center"/>
    </xf>
    <xf numFmtId="0" fontId="13" fillId="10" borderId="1" xfId="0" applyFont="1" applyFill="1" applyBorder="1" applyAlignment="1">
      <alignment horizontal="left"/>
    </xf>
    <xf numFmtId="164" fontId="13" fillId="10" borderId="1" xfId="0" applyNumberFormat="1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164" fontId="13" fillId="10" borderId="1" xfId="0" applyNumberFormat="1" applyFont="1" applyFill="1" applyBorder="1" applyAlignment="1">
      <alignment horizontal="left"/>
    </xf>
    <xf numFmtId="4" fontId="13" fillId="10" borderId="1" xfId="0" applyNumberFormat="1" applyFont="1" applyFill="1" applyBorder="1" applyAlignment="1">
      <alignment horizontal="center"/>
    </xf>
    <xf numFmtId="10" fontId="11" fillId="10" borderId="1" xfId="0" applyNumberFormat="1" applyFont="1" applyFill="1" applyBorder="1" applyAlignment="1">
      <alignment horizontal="center"/>
    </xf>
    <xf numFmtId="10" fontId="11" fillId="9" borderId="1" xfId="0" applyNumberFormat="1" applyFont="1" applyFill="1" applyBorder="1" applyAlignment="1">
      <alignment horizontal="center"/>
    </xf>
    <xf numFmtId="0" fontId="9" fillId="8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0" fontId="6" fillId="3" borderId="1" xfId="0" applyNumberFormat="1" applyFont="1" applyFill="1" applyBorder="1" applyAlignment="1">
      <alignment horizontal="center" vertical="center"/>
    </xf>
    <xf numFmtId="6" fontId="4" fillId="3" borderId="1" xfId="0" applyNumberFormat="1" applyFont="1" applyFill="1" applyBorder="1" applyAlignment="1">
      <alignment horizontal="center" vertical="center"/>
    </xf>
    <xf numFmtId="6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Delay Rate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'📅 Monthly Trend'!$E$2</c:f>
              <c:strCache>
                <c:ptCount val="1"/>
                <c:pt idx="0">
                  <c:v>Delay Rate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'📅 Monthly Trend'!$A$3:$A$15</c:f>
              <c:strCache>
                <c:ptCount val="13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  <c:pt idx="12">
                  <c:v>2026-05</c:v>
                </c:pt>
              </c:strCache>
            </c:strRef>
          </c:cat>
          <c:val>
            <c:numRef>
              <c:f>'📅 Monthly Trend'!$E$3:$E$15</c:f>
              <c:numCache>
                <c:formatCode>0.00%</c:formatCode>
                <c:ptCount val="13"/>
                <c:pt idx="0">
                  <c:v>0.5</c:v>
                </c:pt>
                <c:pt idx="1">
                  <c:v>0.8</c:v>
                </c:pt>
                <c:pt idx="2">
                  <c:v>0.7</c:v>
                </c:pt>
                <c:pt idx="3">
                  <c:v>0.8</c:v>
                </c:pt>
                <c:pt idx="4">
                  <c:v>0.75</c:v>
                </c:pt>
                <c:pt idx="5">
                  <c:v>0.76900000000000002</c:v>
                </c:pt>
                <c:pt idx="6">
                  <c:v>0.71399999999999997</c:v>
                </c:pt>
                <c:pt idx="7">
                  <c:v>0.75</c:v>
                </c:pt>
                <c:pt idx="8">
                  <c:v>0.84599999999999997</c:v>
                </c:pt>
                <c:pt idx="9">
                  <c:v>0.8</c:v>
                </c:pt>
                <c:pt idx="10">
                  <c:v>1</c:v>
                </c:pt>
                <c:pt idx="11">
                  <c:v>1</c:v>
                </c:pt>
                <c:pt idx="12">
                  <c:v>0.71399999999999997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3D-4E68-9EA4-73411B47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Delay Rate %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114300</xdr:colOff>
      <xdr:row>1</xdr:row>
      <xdr:rowOff>66675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workbookViewId="0">
      <selection activeCell="C10" sqref="C10"/>
    </sheetView>
  </sheetViews>
  <sheetFormatPr defaultRowHeight="15" x14ac:dyDescent="0.25"/>
  <cols>
    <col min="1" max="6" width="17" customWidth="1"/>
    <col min="7" max="8" width="18.5703125" bestFit="1" customWidth="1"/>
    <col min="9" max="12" width="14" customWidth="1"/>
  </cols>
  <sheetData>
    <row r="1" spans="1:12" ht="36" customHeight="1" x14ac:dyDescent="0.25">
      <c r="A1" s="32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25">
      <c r="A2" s="31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spans="1:12" ht="18" customHeight="1" x14ac:dyDescent="0.25"/>
    <row r="5" spans="1:12" ht="21.95" customHeight="1" x14ac:dyDescent="0.25">
      <c r="A5" s="1" t="s">
        <v>2</v>
      </c>
      <c r="B5" s="2" t="s">
        <v>3</v>
      </c>
      <c r="C5" s="3" t="s">
        <v>4</v>
      </c>
      <c r="D5" s="3" t="s">
        <v>5</v>
      </c>
      <c r="E5" s="4" t="s">
        <v>6</v>
      </c>
      <c r="F5" s="5" t="s">
        <v>7</v>
      </c>
      <c r="G5" s="1" t="s">
        <v>8</v>
      </c>
      <c r="H5" s="3" t="s">
        <v>9</v>
      </c>
    </row>
    <row r="6" spans="1:12" ht="33.950000000000003" customHeight="1" x14ac:dyDescent="0.25">
      <c r="A6" s="6">
        <v>100</v>
      </c>
      <c r="B6" s="7">
        <v>47</v>
      </c>
      <c r="C6" s="34">
        <v>-0.70199999999999996</v>
      </c>
      <c r="D6" s="8">
        <v>80</v>
      </c>
      <c r="E6" s="9">
        <v>39</v>
      </c>
      <c r="F6" s="10">
        <v>7.5</v>
      </c>
      <c r="G6" s="35">
        <v>15592170</v>
      </c>
      <c r="H6" s="36">
        <v>13374781</v>
      </c>
    </row>
    <row r="7" spans="1:12" ht="12" customHeight="1" x14ac:dyDescent="0.25"/>
    <row r="8" spans="1:12" ht="21.95" customHeight="1" x14ac:dyDescent="0.25">
      <c r="A8" s="29" t="s">
        <v>10</v>
      </c>
      <c r="B8" s="30"/>
      <c r="C8" s="30"/>
      <c r="D8" s="30"/>
      <c r="E8" s="30"/>
      <c r="G8" s="29" t="s">
        <v>11</v>
      </c>
      <c r="H8" s="30"/>
      <c r="I8" s="30"/>
      <c r="J8" s="30"/>
      <c r="K8" s="30"/>
      <c r="L8" s="30"/>
    </row>
    <row r="9" spans="1:12" x14ac:dyDescent="0.25">
      <c r="A9" s="11" t="s">
        <v>12</v>
      </c>
      <c r="B9" s="11" t="s">
        <v>2</v>
      </c>
      <c r="C9" s="11" t="s">
        <v>13</v>
      </c>
      <c r="D9" s="11" t="s">
        <v>14</v>
      </c>
      <c r="E9" s="11" t="s">
        <v>7</v>
      </c>
      <c r="G9" s="11" t="s">
        <v>15</v>
      </c>
      <c r="H9" s="11" t="s">
        <v>16</v>
      </c>
      <c r="I9" s="11" t="s">
        <v>17</v>
      </c>
      <c r="J9" s="11" t="s">
        <v>18</v>
      </c>
      <c r="K9" s="11" t="s">
        <v>13</v>
      </c>
      <c r="L9" s="11" t="s">
        <v>19</v>
      </c>
    </row>
    <row r="10" spans="1:12" x14ac:dyDescent="0.25">
      <c r="A10" s="12" t="s">
        <v>20</v>
      </c>
      <c r="B10" s="12">
        <v>10</v>
      </c>
      <c r="C10" s="12">
        <v>8</v>
      </c>
      <c r="D10" s="28">
        <v>0.8</v>
      </c>
      <c r="E10" s="12">
        <v>7.8</v>
      </c>
      <c r="G10" s="13" t="s">
        <v>21</v>
      </c>
      <c r="H10" s="13" t="s">
        <v>22</v>
      </c>
      <c r="I10" s="13" t="s">
        <v>23</v>
      </c>
      <c r="J10" s="12">
        <v>8</v>
      </c>
      <c r="K10" s="12">
        <v>7</v>
      </c>
      <c r="L10" s="12" t="s">
        <v>24</v>
      </c>
    </row>
    <row r="11" spans="1:12" x14ac:dyDescent="0.25">
      <c r="A11" s="14" t="s">
        <v>25</v>
      </c>
      <c r="B11" s="14">
        <v>10</v>
      </c>
      <c r="C11" s="14">
        <v>7</v>
      </c>
      <c r="D11" s="27">
        <v>0.7</v>
      </c>
      <c r="E11" s="14">
        <v>8.6999999999999993</v>
      </c>
      <c r="G11" s="15" t="s">
        <v>26</v>
      </c>
      <c r="H11" s="15" t="s">
        <v>27</v>
      </c>
      <c r="I11" s="15" t="s">
        <v>23</v>
      </c>
      <c r="J11" s="14">
        <v>9</v>
      </c>
      <c r="K11" s="14">
        <v>6</v>
      </c>
      <c r="L11" s="14" t="s">
        <v>24</v>
      </c>
    </row>
    <row r="12" spans="1:12" x14ac:dyDescent="0.25">
      <c r="A12" s="12" t="s">
        <v>28</v>
      </c>
      <c r="B12" s="12">
        <v>5</v>
      </c>
      <c r="C12" s="12">
        <v>4</v>
      </c>
      <c r="D12" s="28">
        <v>0.8</v>
      </c>
      <c r="E12" s="12">
        <v>8.1999999999999993</v>
      </c>
      <c r="G12" s="13" t="s">
        <v>29</v>
      </c>
      <c r="H12" s="13" t="s">
        <v>30</v>
      </c>
      <c r="I12" s="13" t="s">
        <v>31</v>
      </c>
      <c r="J12" s="12">
        <v>13</v>
      </c>
      <c r="K12" s="12">
        <v>13</v>
      </c>
      <c r="L12" s="12" t="s">
        <v>24</v>
      </c>
    </row>
    <row r="13" spans="1:12" x14ac:dyDescent="0.25">
      <c r="A13" s="14" t="s">
        <v>32</v>
      </c>
      <c r="B13" s="14">
        <v>4</v>
      </c>
      <c r="C13" s="14">
        <v>3</v>
      </c>
      <c r="D13" s="27">
        <v>0.75</v>
      </c>
      <c r="E13" s="14">
        <v>9</v>
      </c>
      <c r="G13" s="15" t="s">
        <v>33</v>
      </c>
      <c r="H13" s="15" t="s">
        <v>34</v>
      </c>
      <c r="I13" s="15" t="s">
        <v>31</v>
      </c>
      <c r="J13" s="14">
        <v>10</v>
      </c>
      <c r="K13" s="14">
        <v>7</v>
      </c>
      <c r="L13" s="14" t="s">
        <v>24</v>
      </c>
    </row>
    <row r="14" spans="1:12" x14ac:dyDescent="0.25">
      <c r="A14" s="12" t="s">
        <v>35</v>
      </c>
      <c r="B14" s="12">
        <v>13</v>
      </c>
      <c r="C14" s="12">
        <v>10</v>
      </c>
      <c r="D14" s="28">
        <v>0.76900000000000002</v>
      </c>
      <c r="E14" s="12">
        <v>10.1</v>
      </c>
      <c r="G14" s="13" t="s">
        <v>36</v>
      </c>
      <c r="H14" s="13" t="s">
        <v>37</v>
      </c>
      <c r="I14" s="13" t="s">
        <v>23</v>
      </c>
      <c r="J14" s="12">
        <v>14</v>
      </c>
      <c r="K14" s="12">
        <v>12</v>
      </c>
      <c r="L14" s="12" t="s">
        <v>24</v>
      </c>
    </row>
    <row r="15" spans="1:12" x14ac:dyDescent="0.25">
      <c r="A15" s="14" t="s">
        <v>38</v>
      </c>
      <c r="B15" s="14">
        <v>7</v>
      </c>
      <c r="C15" s="14">
        <v>5</v>
      </c>
      <c r="D15" s="27">
        <v>0.71399999999999997</v>
      </c>
      <c r="E15" s="14">
        <v>4.4000000000000004</v>
      </c>
      <c r="G15" s="15" t="s">
        <v>39</v>
      </c>
      <c r="H15" s="15" t="s">
        <v>40</v>
      </c>
      <c r="I15" s="15" t="s">
        <v>41</v>
      </c>
      <c r="J15" s="14">
        <v>9</v>
      </c>
      <c r="K15" s="14">
        <v>7</v>
      </c>
      <c r="L15" s="14" t="s">
        <v>24</v>
      </c>
    </row>
    <row r="16" spans="1:12" x14ac:dyDescent="0.25">
      <c r="A16" s="12" t="s">
        <v>42</v>
      </c>
      <c r="B16" s="12">
        <v>8</v>
      </c>
      <c r="C16" s="12">
        <v>6</v>
      </c>
      <c r="D16" s="28">
        <v>0.75</v>
      </c>
      <c r="E16" s="12">
        <v>7.3</v>
      </c>
      <c r="G16" s="13" t="s">
        <v>43</v>
      </c>
      <c r="H16" s="13" t="s">
        <v>44</v>
      </c>
      <c r="I16" s="13" t="s">
        <v>45</v>
      </c>
      <c r="J16" s="12">
        <v>9</v>
      </c>
      <c r="K16" s="12">
        <v>8</v>
      </c>
      <c r="L16" s="12" t="s">
        <v>24</v>
      </c>
    </row>
    <row r="17" spans="1:12" x14ac:dyDescent="0.25">
      <c r="A17" s="14" t="s">
        <v>46</v>
      </c>
      <c r="B17" s="14">
        <v>13</v>
      </c>
      <c r="C17" s="14">
        <v>11</v>
      </c>
      <c r="D17" s="27">
        <v>0.84599999999999997</v>
      </c>
      <c r="E17" s="14">
        <v>5.5</v>
      </c>
      <c r="G17" s="15" t="s">
        <v>47</v>
      </c>
      <c r="H17" s="15" t="s">
        <v>37</v>
      </c>
      <c r="I17" s="15" t="s">
        <v>31</v>
      </c>
      <c r="J17" s="14">
        <v>9</v>
      </c>
      <c r="K17" s="14">
        <v>6</v>
      </c>
      <c r="L17" s="14" t="s">
        <v>24</v>
      </c>
    </row>
    <row r="18" spans="1:12" x14ac:dyDescent="0.25">
      <c r="A18" s="12" t="s">
        <v>48</v>
      </c>
      <c r="B18" s="12">
        <v>5</v>
      </c>
      <c r="C18" s="12">
        <v>4</v>
      </c>
      <c r="D18" s="28">
        <v>0.8</v>
      </c>
      <c r="E18" s="12">
        <v>8</v>
      </c>
      <c r="G18" s="13" t="s">
        <v>49</v>
      </c>
      <c r="H18" s="13" t="s">
        <v>44</v>
      </c>
      <c r="I18" s="13" t="s">
        <v>50</v>
      </c>
      <c r="J18" s="12">
        <v>12</v>
      </c>
      <c r="K18" s="12">
        <v>9</v>
      </c>
      <c r="L18" s="12" t="s">
        <v>24</v>
      </c>
    </row>
    <row r="19" spans="1:12" x14ac:dyDescent="0.25">
      <c r="A19" s="14" t="s">
        <v>51</v>
      </c>
      <c r="B19" s="14">
        <v>6</v>
      </c>
      <c r="C19" s="14">
        <v>6</v>
      </c>
      <c r="D19" s="27">
        <v>1</v>
      </c>
      <c r="E19" s="14">
        <v>6.5</v>
      </c>
      <c r="G19" s="15" t="s">
        <v>52</v>
      </c>
      <c r="H19" s="15" t="s">
        <v>53</v>
      </c>
      <c r="I19" s="15" t="s">
        <v>54</v>
      </c>
      <c r="J19" s="14">
        <v>7</v>
      </c>
      <c r="K19" s="14">
        <v>5</v>
      </c>
      <c r="L19" s="14" t="s">
        <v>24</v>
      </c>
    </row>
    <row r="20" spans="1:12" x14ac:dyDescent="0.25">
      <c r="A20" s="12" t="s">
        <v>55</v>
      </c>
      <c r="B20" s="12">
        <v>10</v>
      </c>
      <c r="C20" s="12">
        <v>10</v>
      </c>
      <c r="D20" s="28">
        <v>1</v>
      </c>
      <c r="E20" s="12">
        <v>6.9</v>
      </c>
    </row>
    <row r="21" spans="1:12" x14ac:dyDescent="0.25">
      <c r="A21" s="14" t="s">
        <v>56</v>
      </c>
      <c r="B21" s="14">
        <v>7</v>
      </c>
      <c r="C21" s="14">
        <v>5</v>
      </c>
      <c r="D21" s="27">
        <v>0.71399999999999997</v>
      </c>
      <c r="E21" s="14">
        <v>8.4</v>
      </c>
    </row>
  </sheetData>
  <mergeCells count="4">
    <mergeCell ref="G8:L8"/>
    <mergeCell ref="A2:L2"/>
    <mergeCell ref="A1:L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13.28515625" defaultRowHeight="15" x14ac:dyDescent="0.25"/>
  <cols>
    <col min="1" max="1" width="17.28515625" bestFit="1" customWidth="1"/>
    <col min="2" max="2" width="16.85546875" bestFit="1" customWidth="1"/>
    <col min="3" max="3" width="17" bestFit="1" customWidth="1"/>
    <col min="4" max="4" width="13.5703125" bestFit="1" customWidth="1"/>
    <col min="5" max="5" width="14.7109375" bestFit="1" customWidth="1"/>
    <col min="6" max="6" width="19.28515625" bestFit="1" customWidth="1"/>
    <col min="7" max="7" width="17.7109375" bestFit="1" customWidth="1"/>
    <col min="8" max="8" width="17" bestFit="1" customWidth="1"/>
    <col min="9" max="9" width="20.5703125" bestFit="1" customWidth="1"/>
    <col min="10" max="10" width="17" bestFit="1" customWidth="1"/>
    <col min="11" max="11" width="9" bestFit="1" customWidth="1"/>
    <col min="12" max="12" width="15.5703125" bestFit="1" customWidth="1"/>
    <col min="13" max="13" width="17.85546875" bestFit="1" customWidth="1"/>
    <col min="14" max="14" width="16.5703125" bestFit="1" customWidth="1"/>
    <col min="15" max="15" width="19.5703125" bestFit="1" customWidth="1"/>
    <col min="16" max="16" width="12" bestFit="1" customWidth="1"/>
    <col min="17" max="17" width="12.7109375" bestFit="1" customWidth="1"/>
    <col min="18" max="18" width="16.42578125" bestFit="1" customWidth="1"/>
    <col min="19" max="19" width="18.28515625" bestFit="1" customWidth="1"/>
  </cols>
  <sheetData>
    <row r="1" spans="1:19" x14ac:dyDescent="0.25">
      <c r="A1" s="16" t="s">
        <v>57</v>
      </c>
      <c r="B1" s="16" t="s">
        <v>58</v>
      </c>
      <c r="C1" s="16" t="s">
        <v>15</v>
      </c>
      <c r="D1" s="16" t="s">
        <v>16</v>
      </c>
      <c r="E1" s="16" t="s">
        <v>17</v>
      </c>
      <c r="F1" s="16" t="s">
        <v>59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65</v>
      </c>
      <c r="M1" s="16" t="s">
        <v>66</v>
      </c>
      <c r="N1" s="16" t="s">
        <v>67</v>
      </c>
      <c r="O1" s="16" t="s">
        <v>68</v>
      </c>
      <c r="P1" s="16" t="s">
        <v>19</v>
      </c>
      <c r="Q1" s="16" t="s">
        <v>69</v>
      </c>
      <c r="R1" s="16" t="s">
        <v>70</v>
      </c>
      <c r="S1" s="16" t="s">
        <v>71</v>
      </c>
    </row>
    <row r="2" spans="1:19" x14ac:dyDescent="0.25">
      <c r="A2" s="17" t="s">
        <v>72</v>
      </c>
      <c r="B2" s="18">
        <v>46041</v>
      </c>
      <c r="C2" s="17" t="s">
        <v>21</v>
      </c>
      <c r="D2" s="19" t="s">
        <v>22</v>
      </c>
      <c r="E2" s="19" t="s">
        <v>23</v>
      </c>
      <c r="F2" s="17" t="s">
        <v>73</v>
      </c>
      <c r="G2" s="19" t="s">
        <v>31</v>
      </c>
      <c r="H2" s="19" t="s">
        <v>74</v>
      </c>
      <c r="I2" s="20">
        <v>46062</v>
      </c>
      <c r="J2" s="20">
        <v>46066</v>
      </c>
      <c r="K2" s="19">
        <v>396</v>
      </c>
      <c r="L2" s="21">
        <v>890.91</v>
      </c>
      <c r="M2" s="21">
        <v>352801.75</v>
      </c>
      <c r="N2" s="19">
        <v>4</v>
      </c>
      <c r="O2" s="19" t="s">
        <v>75</v>
      </c>
      <c r="P2" s="19" t="s">
        <v>3</v>
      </c>
      <c r="Q2" s="19" t="s">
        <v>76</v>
      </c>
      <c r="R2" s="19" t="s">
        <v>77</v>
      </c>
      <c r="S2" s="21">
        <v>10584.05</v>
      </c>
    </row>
    <row r="3" spans="1:19" x14ac:dyDescent="0.25">
      <c r="A3" s="22" t="s">
        <v>78</v>
      </c>
      <c r="B3" s="23">
        <v>46151</v>
      </c>
      <c r="C3" s="22" t="s">
        <v>26</v>
      </c>
      <c r="D3" s="24" t="s">
        <v>27</v>
      </c>
      <c r="E3" s="24" t="s">
        <v>23</v>
      </c>
      <c r="F3" s="22" t="s">
        <v>79</v>
      </c>
      <c r="G3" s="24" t="s">
        <v>50</v>
      </c>
      <c r="H3" s="24" t="s">
        <v>80</v>
      </c>
      <c r="I3" s="25">
        <v>46181</v>
      </c>
      <c r="J3" s="25">
        <v>46180</v>
      </c>
      <c r="K3" s="24">
        <v>169</v>
      </c>
      <c r="L3" s="26">
        <v>35.04</v>
      </c>
      <c r="M3" s="26">
        <v>5921.34</v>
      </c>
      <c r="N3" s="24">
        <v>0</v>
      </c>
      <c r="O3" s="24" t="s">
        <v>81</v>
      </c>
      <c r="P3" s="24" t="s">
        <v>3</v>
      </c>
      <c r="Q3" s="24" t="s">
        <v>82</v>
      </c>
      <c r="R3" s="24" t="s">
        <v>83</v>
      </c>
      <c r="S3" s="26">
        <v>177.64</v>
      </c>
    </row>
    <row r="4" spans="1:19" x14ac:dyDescent="0.25">
      <c r="A4" s="17" t="s">
        <v>84</v>
      </c>
      <c r="B4" s="18">
        <v>45937</v>
      </c>
      <c r="C4" s="17" t="s">
        <v>29</v>
      </c>
      <c r="D4" s="19" t="s">
        <v>30</v>
      </c>
      <c r="E4" s="19" t="s">
        <v>31</v>
      </c>
      <c r="F4" s="17" t="s">
        <v>79</v>
      </c>
      <c r="G4" s="19" t="s">
        <v>50</v>
      </c>
      <c r="H4" s="19" t="s">
        <v>85</v>
      </c>
      <c r="I4" s="20">
        <v>45959</v>
      </c>
      <c r="J4" s="20">
        <v>45964</v>
      </c>
      <c r="K4" s="19">
        <v>407</v>
      </c>
      <c r="L4" s="21">
        <v>34.46</v>
      </c>
      <c r="M4" s="21">
        <v>14024.53</v>
      </c>
      <c r="N4" s="19">
        <v>5</v>
      </c>
      <c r="O4" s="19" t="s">
        <v>86</v>
      </c>
      <c r="P4" s="19" t="s">
        <v>3</v>
      </c>
      <c r="Q4" s="19" t="s">
        <v>87</v>
      </c>
      <c r="R4" s="19" t="s">
        <v>83</v>
      </c>
      <c r="S4" s="21">
        <v>420.74</v>
      </c>
    </row>
    <row r="5" spans="1:19" x14ac:dyDescent="0.25">
      <c r="A5" s="22" t="s">
        <v>88</v>
      </c>
      <c r="B5" s="23">
        <v>46119</v>
      </c>
      <c r="C5" s="22" t="s">
        <v>33</v>
      </c>
      <c r="D5" s="24" t="s">
        <v>34</v>
      </c>
      <c r="E5" s="24" t="s">
        <v>31</v>
      </c>
      <c r="F5" s="22" t="s">
        <v>89</v>
      </c>
      <c r="G5" s="24" t="s">
        <v>54</v>
      </c>
      <c r="H5" s="24" t="s">
        <v>90</v>
      </c>
      <c r="I5" s="25">
        <v>46137</v>
      </c>
      <c r="J5" s="25">
        <v>46146</v>
      </c>
      <c r="K5" s="24">
        <v>483</v>
      </c>
      <c r="L5" s="26">
        <v>213.13</v>
      </c>
      <c r="M5" s="26">
        <v>102943.75</v>
      </c>
      <c r="N5" s="24">
        <v>9</v>
      </c>
      <c r="O5" s="24" t="s">
        <v>91</v>
      </c>
      <c r="P5" s="24" t="s">
        <v>3</v>
      </c>
      <c r="Q5" s="24" t="s">
        <v>87</v>
      </c>
      <c r="R5" s="24" t="s">
        <v>77</v>
      </c>
      <c r="S5" s="26">
        <v>3088.31</v>
      </c>
    </row>
    <row r="6" spans="1:19" x14ac:dyDescent="0.25">
      <c r="A6" s="17" t="s">
        <v>92</v>
      </c>
      <c r="B6" s="18">
        <v>45973</v>
      </c>
      <c r="C6" s="17" t="s">
        <v>36</v>
      </c>
      <c r="D6" s="19" t="s">
        <v>37</v>
      </c>
      <c r="E6" s="19" t="s">
        <v>23</v>
      </c>
      <c r="F6" s="17" t="s">
        <v>93</v>
      </c>
      <c r="G6" s="19" t="s">
        <v>31</v>
      </c>
      <c r="H6" s="19" t="s">
        <v>90</v>
      </c>
      <c r="I6" s="20">
        <v>45993</v>
      </c>
      <c r="J6" s="17"/>
      <c r="K6" s="19">
        <v>200</v>
      </c>
      <c r="L6" s="21">
        <v>2558.11</v>
      </c>
      <c r="M6" s="21">
        <v>511622.85</v>
      </c>
      <c r="N6" s="19">
        <v>0</v>
      </c>
      <c r="O6" s="19" t="s">
        <v>81</v>
      </c>
      <c r="P6" s="19" t="s">
        <v>94</v>
      </c>
      <c r="Q6" s="19" t="s">
        <v>76</v>
      </c>
      <c r="R6" s="19" t="s">
        <v>95</v>
      </c>
      <c r="S6" s="21">
        <v>15348.69</v>
      </c>
    </row>
    <row r="7" spans="1:19" x14ac:dyDescent="0.25">
      <c r="A7" s="22" t="s">
        <v>96</v>
      </c>
      <c r="B7" s="23">
        <v>46143</v>
      </c>
      <c r="C7" s="22" t="s">
        <v>26</v>
      </c>
      <c r="D7" s="24" t="s">
        <v>27</v>
      </c>
      <c r="E7" s="24" t="s">
        <v>23</v>
      </c>
      <c r="F7" s="22" t="s">
        <v>97</v>
      </c>
      <c r="G7" s="24" t="s">
        <v>31</v>
      </c>
      <c r="H7" s="24" t="s">
        <v>90</v>
      </c>
      <c r="I7" s="25">
        <v>46173</v>
      </c>
      <c r="J7" s="25">
        <v>46177</v>
      </c>
      <c r="K7" s="24">
        <v>487</v>
      </c>
      <c r="L7" s="26">
        <v>1135.8699999999999</v>
      </c>
      <c r="M7" s="26">
        <v>553168.6</v>
      </c>
      <c r="N7" s="24">
        <v>4</v>
      </c>
      <c r="O7" s="24" t="s">
        <v>75</v>
      </c>
      <c r="P7" s="24" t="s">
        <v>3</v>
      </c>
      <c r="Q7" s="24" t="s">
        <v>82</v>
      </c>
      <c r="R7" s="24" t="s">
        <v>98</v>
      </c>
      <c r="S7" s="26">
        <v>16595.060000000001</v>
      </c>
    </row>
    <row r="8" spans="1:19" x14ac:dyDescent="0.25">
      <c r="A8" s="17" t="s">
        <v>99</v>
      </c>
      <c r="B8" s="18">
        <v>46083</v>
      </c>
      <c r="C8" s="17" t="s">
        <v>39</v>
      </c>
      <c r="D8" s="19" t="s">
        <v>40</v>
      </c>
      <c r="E8" s="19" t="s">
        <v>41</v>
      </c>
      <c r="F8" s="17" t="s">
        <v>100</v>
      </c>
      <c r="G8" s="19" t="s">
        <v>23</v>
      </c>
      <c r="H8" s="19" t="s">
        <v>101</v>
      </c>
      <c r="I8" s="20">
        <v>46093</v>
      </c>
      <c r="J8" s="20">
        <v>46101</v>
      </c>
      <c r="K8" s="19">
        <v>393</v>
      </c>
      <c r="L8" s="21">
        <v>59.11</v>
      </c>
      <c r="M8" s="21">
        <v>23230.44</v>
      </c>
      <c r="N8" s="19">
        <v>8</v>
      </c>
      <c r="O8" s="19" t="s">
        <v>102</v>
      </c>
      <c r="P8" s="19" t="s">
        <v>3</v>
      </c>
      <c r="Q8" s="19" t="s">
        <v>82</v>
      </c>
      <c r="R8" s="19" t="s">
        <v>83</v>
      </c>
      <c r="S8" s="21">
        <v>696.91</v>
      </c>
    </row>
    <row r="9" spans="1:19" x14ac:dyDescent="0.25">
      <c r="A9" s="22" t="s">
        <v>103</v>
      </c>
      <c r="B9" s="23">
        <v>45930</v>
      </c>
      <c r="C9" s="22" t="s">
        <v>29</v>
      </c>
      <c r="D9" s="24" t="s">
        <v>30</v>
      </c>
      <c r="E9" s="24" t="s">
        <v>31</v>
      </c>
      <c r="F9" s="22" t="s">
        <v>97</v>
      </c>
      <c r="G9" s="24" t="s">
        <v>31</v>
      </c>
      <c r="H9" s="24" t="s">
        <v>104</v>
      </c>
      <c r="I9" s="25">
        <v>45952</v>
      </c>
      <c r="J9" s="25">
        <v>45961</v>
      </c>
      <c r="K9" s="24">
        <v>402</v>
      </c>
      <c r="L9" s="26">
        <v>1213.67</v>
      </c>
      <c r="M9" s="26">
        <v>487894.51</v>
      </c>
      <c r="N9" s="24">
        <v>9</v>
      </c>
      <c r="O9" s="24" t="s">
        <v>81</v>
      </c>
      <c r="P9" s="24" t="s">
        <v>3</v>
      </c>
      <c r="Q9" s="24" t="s">
        <v>87</v>
      </c>
      <c r="R9" s="24" t="s">
        <v>77</v>
      </c>
      <c r="S9" s="26">
        <v>14636.84</v>
      </c>
    </row>
    <row r="10" spans="1:19" x14ac:dyDescent="0.25">
      <c r="A10" s="17" t="s">
        <v>105</v>
      </c>
      <c r="B10" s="18">
        <v>45961</v>
      </c>
      <c r="C10" s="17" t="s">
        <v>33</v>
      </c>
      <c r="D10" s="19" t="s">
        <v>34</v>
      </c>
      <c r="E10" s="19" t="s">
        <v>31</v>
      </c>
      <c r="F10" s="17" t="s">
        <v>73</v>
      </c>
      <c r="G10" s="19" t="s">
        <v>31</v>
      </c>
      <c r="H10" s="19" t="s">
        <v>101</v>
      </c>
      <c r="I10" s="20">
        <v>45979</v>
      </c>
      <c r="J10" s="20">
        <v>45984</v>
      </c>
      <c r="K10" s="19">
        <v>340</v>
      </c>
      <c r="L10" s="21">
        <v>913.98</v>
      </c>
      <c r="M10" s="21">
        <v>310754.05</v>
      </c>
      <c r="N10" s="19">
        <v>5</v>
      </c>
      <c r="O10" s="19" t="s">
        <v>102</v>
      </c>
      <c r="P10" s="19" t="s">
        <v>3</v>
      </c>
      <c r="Q10" s="19" t="s">
        <v>87</v>
      </c>
      <c r="R10" s="19" t="s">
        <v>83</v>
      </c>
      <c r="S10" s="21">
        <v>9322.6200000000008</v>
      </c>
    </row>
    <row r="11" spans="1:19" x14ac:dyDescent="0.25">
      <c r="A11" s="22" t="s">
        <v>106</v>
      </c>
      <c r="B11" s="23">
        <v>46093</v>
      </c>
      <c r="C11" s="22" t="s">
        <v>36</v>
      </c>
      <c r="D11" s="24" t="s">
        <v>37</v>
      </c>
      <c r="E11" s="24" t="s">
        <v>23</v>
      </c>
      <c r="F11" s="22" t="s">
        <v>79</v>
      </c>
      <c r="G11" s="24" t="s">
        <v>50</v>
      </c>
      <c r="H11" s="24" t="s">
        <v>107</v>
      </c>
      <c r="I11" s="25">
        <v>46113</v>
      </c>
      <c r="J11" s="25">
        <v>46118</v>
      </c>
      <c r="K11" s="24">
        <v>431</v>
      </c>
      <c r="L11" s="26">
        <v>35.43</v>
      </c>
      <c r="M11" s="26">
        <v>15270.15</v>
      </c>
      <c r="N11" s="24">
        <v>5</v>
      </c>
      <c r="O11" s="24" t="s">
        <v>102</v>
      </c>
      <c r="P11" s="24" t="s">
        <v>3</v>
      </c>
      <c r="Q11" s="24" t="s">
        <v>87</v>
      </c>
      <c r="R11" s="24" t="s">
        <v>98</v>
      </c>
      <c r="S11" s="26">
        <v>458.1</v>
      </c>
    </row>
    <row r="12" spans="1:19" x14ac:dyDescent="0.25">
      <c r="A12" s="17" t="s">
        <v>108</v>
      </c>
      <c r="B12" s="18">
        <v>46054</v>
      </c>
      <c r="C12" s="17" t="s">
        <v>26</v>
      </c>
      <c r="D12" s="19" t="s">
        <v>27</v>
      </c>
      <c r="E12" s="19" t="s">
        <v>23</v>
      </c>
      <c r="F12" s="17" t="s">
        <v>79</v>
      </c>
      <c r="G12" s="19" t="s">
        <v>50</v>
      </c>
      <c r="H12" s="19" t="s">
        <v>101</v>
      </c>
      <c r="I12" s="20">
        <v>46084</v>
      </c>
      <c r="J12" s="17"/>
      <c r="K12" s="19">
        <v>96</v>
      </c>
      <c r="L12" s="21">
        <v>36.79</v>
      </c>
      <c r="M12" s="21">
        <v>3531.89</v>
      </c>
      <c r="N12" s="19">
        <v>1</v>
      </c>
      <c r="O12" s="19" t="s">
        <v>109</v>
      </c>
      <c r="P12" s="19" t="s">
        <v>94</v>
      </c>
      <c r="Q12" s="19" t="s">
        <v>82</v>
      </c>
      <c r="R12" s="19" t="s">
        <v>83</v>
      </c>
      <c r="S12" s="21">
        <v>105.96</v>
      </c>
    </row>
    <row r="13" spans="1:19" x14ac:dyDescent="0.25">
      <c r="A13" s="22" t="s">
        <v>110</v>
      </c>
      <c r="B13" s="23">
        <v>45969</v>
      </c>
      <c r="C13" s="22" t="s">
        <v>43</v>
      </c>
      <c r="D13" s="24" t="s">
        <v>44</v>
      </c>
      <c r="E13" s="24" t="s">
        <v>45</v>
      </c>
      <c r="F13" s="22" t="s">
        <v>79</v>
      </c>
      <c r="G13" s="24" t="s">
        <v>50</v>
      </c>
      <c r="H13" s="24" t="s">
        <v>90</v>
      </c>
      <c r="I13" s="25">
        <v>45976</v>
      </c>
      <c r="J13" s="22"/>
      <c r="K13" s="24">
        <v>320</v>
      </c>
      <c r="L13" s="26">
        <v>33.26</v>
      </c>
      <c r="M13" s="26">
        <v>10643.17</v>
      </c>
      <c r="N13" s="24">
        <v>9</v>
      </c>
      <c r="O13" s="24" t="s">
        <v>109</v>
      </c>
      <c r="P13" s="24" t="s">
        <v>94</v>
      </c>
      <c r="Q13" s="24" t="s">
        <v>76</v>
      </c>
      <c r="R13" s="24" t="s">
        <v>77</v>
      </c>
      <c r="S13" s="26">
        <v>319.3</v>
      </c>
    </row>
    <row r="14" spans="1:19" x14ac:dyDescent="0.25">
      <c r="A14" s="17" t="s">
        <v>111</v>
      </c>
      <c r="B14" s="18">
        <v>45838</v>
      </c>
      <c r="C14" s="17" t="s">
        <v>21</v>
      </c>
      <c r="D14" s="19" t="s">
        <v>22</v>
      </c>
      <c r="E14" s="19" t="s">
        <v>23</v>
      </c>
      <c r="F14" s="17" t="s">
        <v>93</v>
      </c>
      <c r="G14" s="19" t="s">
        <v>31</v>
      </c>
      <c r="H14" s="19" t="s">
        <v>74</v>
      </c>
      <c r="I14" s="20">
        <v>45859</v>
      </c>
      <c r="J14" s="20">
        <v>45866</v>
      </c>
      <c r="K14" s="19">
        <v>272</v>
      </c>
      <c r="L14" s="21">
        <v>2235.92</v>
      </c>
      <c r="M14" s="21">
        <v>608169.07999999996</v>
      </c>
      <c r="N14" s="19">
        <v>7</v>
      </c>
      <c r="O14" s="19" t="s">
        <v>112</v>
      </c>
      <c r="P14" s="19" t="s">
        <v>3</v>
      </c>
      <c r="Q14" s="19" t="s">
        <v>82</v>
      </c>
      <c r="R14" s="19" t="s">
        <v>95</v>
      </c>
      <c r="S14" s="21">
        <v>18245.07</v>
      </c>
    </row>
    <row r="15" spans="1:19" x14ac:dyDescent="0.25">
      <c r="A15" s="22" t="s">
        <v>113</v>
      </c>
      <c r="B15" s="23">
        <v>45846</v>
      </c>
      <c r="C15" s="22" t="s">
        <v>29</v>
      </c>
      <c r="D15" s="24" t="s">
        <v>30</v>
      </c>
      <c r="E15" s="24" t="s">
        <v>31</v>
      </c>
      <c r="F15" s="22" t="s">
        <v>114</v>
      </c>
      <c r="G15" s="24" t="s">
        <v>45</v>
      </c>
      <c r="H15" s="24" t="s">
        <v>90</v>
      </c>
      <c r="I15" s="25">
        <v>45868</v>
      </c>
      <c r="J15" s="25">
        <v>45874</v>
      </c>
      <c r="K15" s="24">
        <v>361</v>
      </c>
      <c r="L15" s="26">
        <v>11.28</v>
      </c>
      <c r="M15" s="26">
        <v>4071.14</v>
      </c>
      <c r="N15" s="24">
        <v>6</v>
      </c>
      <c r="O15" s="24" t="s">
        <v>81</v>
      </c>
      <c r="P15" s="24" t="s">
        <v>115</v>
      </c>
      <c r="Q15" s="24" t="s">
        <v>87</v>
      </c>
      <c r="R15" s="24" t="s">
        <v>83</v>
      </c>
      <c r="S15" s="26">
        <v>122.13</v>
      </c>
    </row>
    <row r="16" spans="1:19" x14ac:dyDescent="0.25">
      <c r="A16" s="17" t="s">
        <v>116</v>
      </c>
      <c r="B16" s="18">
        <v>45860</v>
      </c>
      <c r="C16" s="17" t="s">
        <v>29</v>
      </c>
      <c r="D16" s="19" t="s">
        <v>30</v>
      </c>
      <c r="E16" s="19" t="s">
        <v>31</v>
      </c>
      <c r="F16" s="17" t="s">
        <v>93</v>
      </c>
      <c r="G16" s="19" t="s">
        <v>31</v>
      </c>
      <c r="H16" s="19" t="s">
        <v>80</v>
      </c>
      <c r="I16" s="20">
        <v>45882</v>
      </c>
      <c r="J16" s="20">
        <v>45889</v>
      </c>
      <c r="K16" s="19">
        <v>107</v>
      </c>
      <c r="L16" s="21">
        <v>2605.9699999999998</v>
      </c>
      <c r="M16" s="21">
        <v>278838.5</v>
      </c>
      <c r="N16" s="19">
        <v>7</v>
      </c>
      <c r="O16" s="19" t="s">
        <v>117</v>
      </c>
      <c r="P16" s="19" t="s">
        <v>118</v>
      </c>
      <c r="Q16" s="19" t="s">
        <v>87</v>
      </c>
      <c r="R16" s="19" t="s">
        <v>83</v>
      </c>
      <c r="S16" s="21">
        <v>8365.16</v>
      </c>
    </row>
    <row r="17" spans="1:19" x14ac:dyDescent="0.25">
      <c r="A17" s="22" t="s">
        <v>119</v>
      </c>
      <c r="B17" s="23">
        <v>46123</v>
      </c>
      <c r="C17" s="22" t="s">
        <v>47</v>
      </c>
      <c r="D17" s="24" t="s">
        <v>37</v>
      </c>
      <c r="E17" s="24" t="s">
        <v>31</v>
      </c>
      <c r="F17" s="22" t="s">
        <v>97</v>
      </c>
      <c r="G17" s="24" t="s">
        <v>31</v>
      </c>
      <c r="H17" s="24" t="s">
        <v>90</v>
      </c>
      <c r="I17" s="25">
        <v>46137</v>
      </c>
      <c r="J17" s="25">
        <v>46149</v>
      </c>
      <c r="K17" s="24">
        <v>442</v>
      </c>
      <c r="L17" s="26">
        <v>1110.18</v>
      </c>
      <c r="M17" s="26">
        <v>490700.68</v>
      </c>
      <c r="N17" s="24">
        <v>12</v>
      </c>
      <c r="O17" s="24" t="s">
        <v>81</v>
      </c>
      <c r="P17" s="24" t="s">
        <v>3</v>
      </c>
      <c r="Q17" s="24" t="s">
        <v>120</v>
      </c>
      <c r="R17" s="24" t="s">
        <v>83</v>
      </c>
      <c r="S17" s="26">
        <v>14721.02</v>
      </c>
    </row>
    <row r="18" spans="1:19" x14ac:dyDescent="0.25">
      <c r="A18" s="17" t="s">
        <v>121</v>
      </c>
      <c r="B18" s="18">
        <v>46058</v>
      </c>
      <c r="C18" s="17" t="s">
        <v>39</v>
      </c>
      <c r="D18" s="19" t="s">
        <v>40</v>
      </c>
      <c r="E18" s="19" t="s">
        <v>41</v>
      </c>
      <c r="F18" s="17" t="s">
        <v>93</v>
      </c>
      <c r="G18" s="19" t="s">
        <v>31</v>
      </c>
      <c r="H18" s="19" t="s">
        <v>122</v>
      </c>
      <c r="I18" s="20">
        <v>46068</v>
      </c>
      <c r="J18" s="20">
        <v>46082</v>
      </c>
      <c r="K18" s="19">
        <v>415</v>
      </c>
      <c r="L18" s="21">
        <v>2309.62</v>
      </c>
      <c r="M18" s="21">
        <v>958493.89</v>
      </c>
      <c r="N18" s="19">
        <v>14</v>
      </c>
      <c r="O18" s="19" t="s">
        <v>102</v>
      </c>
      <c r="P18" s="19" t="s">
        <v>115</v>
      </c>
      <c r="Q18" s="19" t="s">
        <v>87</v>
      </c>
      <c r="R18" s="19" t="s">
        <v>98</v>
      </c>
      <c r="S18" s="21">
        <v>28754.82</v>
      </c>
    </row>
    <row r="19" spans="1:19" x14ac:dyDescent="0.25">
      <c r="A19" s="22" t="s">
        <v>123</v>
      </c>
      <c r="B19" s="23">
        <v>46040</v>
      </c>
      <c r="C19" s="22" t="s">
        <v>29</v>
      </c>
      <c r="D19" s="24" t="s">
        <v>30</v>
      </c>
      <c r="E19" s="24" t="s">
        <v>31</v>
      </c>
      <c r="F19" s="22" t="s">
        <v>100</v>
      </c>
      <c r="G19" s="24" t="s">
        <v>23</v>
      </c>
      <c r="H19" s="24" t="s">
        <v>90</v>
      </c>
      <c r="I19" s="25">
        <v>46062</v>
      </c>
      <c r="J19" s="25">
        <v>46066</v>
      </c>
      <c r="K19" s="24">
        <v>60</v>
      </c>
      <c r="L19" s="26">
        <v>63.1</v>
      </c>
      <c r="M19" s="26">
        <v>3785.7</v>
      </c>
      <c r="N19" s="24">
        <v>4</v>
      </c>
      <c r="O19" s="24" t="s">
        <v>91</v>
      </c>
      <c r="P19" s="24" t="s">
        <v>3</v>
      </c>
      <c r="Q19" s="24" t="s">
        <v>124</v>
      </c>
      <c r="R19" s="24" t="s">
        <v>83</v>
      </c>
      <c r="S19" s="26">
        <v>113.57</v>
      </c>
    </row>
    <row r="20" spans="1:19" x14ac:dyDescent="0.25">
      <c r="A20" s="17" t="s">
        <v>125</v>
      </c>
      <c r="B20" s="18">
        <v>46049</v>
      </c>
      <c r="C20" s="17" t="s">
        <v>47</v>
      </c>
      <c r="D20" s="19" t="s">
        <v>37</v>
      </c>
      <c r="E20" s="19" t="s">
        <v>31</v>
      </c>
      <c r="F20" s="17" t="s">
        <v>126</v>
      </c>
      <c r="G20" s="19" t="s">
        <v>23</v>
      </c>
      <c r="H20" s="19" t="s">
        <v>80</v>
      </c>
      <c r="I20" s="20">
        <v>46063</v>
      </c>
      <c r="J20" s="20">
        <v>46062</v>
      </c>
      <c r="K20" s="19">
        <v>490</v>
      </c>
      <c r="L20" s="21">
        <v>43.96</v>
      </c>
      <c r="M20" s="21">
        <v>21538.880000000001</v>
      </c>
      <c r="N20" s="19">
        <v>0</v>
      </c>
      <c r="O20" s="19" t="s">
        <v>81</v>
      </c>
      <c r="P20" s="19" t="s">
        <v>3</v>
      </c>
      <c r="Q20" s="19" t="s">
        <v>76</v>
      </c>
      <c r="R20" s="19" t="s">
        <v>83</v>
      </c>
      <c r="S20" s="21">
        <v>646.16999999999996</v>
      </c>
    </row>
    <row r="21" spans="1:19" x14ac:dyDescent="0.25">
      <c r="A21" s="22" t="s">
        <v>127</v>
      </c>
      <c r="B21" s="23">
        <v>45890</v>
      </c>
      <c r="C21" s="22" t="s">
        <v>39</v>
      </c>
      <c r="D21" s="24" t="s">
        <v>40</v>
      </c>
      <c r="E21" s="24" t="s">
        <v>41</v>
      </c>
      <c r="F21" s="22" t="s">
        <v>100</v>
      </c>
      <c r="G21" s="24" t="s">
        <v>23</v>
      </c>
      <c r="H21" s="24" t="s">
        <v>85</v>
      </c>
      <c r="I21" s="25">
        <v>45900</v>
      </c>
      <c r="J21" s="25">
        <v>45901</v>
      </c>
      <c r="K21" s="24">
        <v>345</v>
      </c>
      <c r="L21" s="26">
        <v>61.66</v>
      </c>
      <c r="M21" s="26">
        <v>21273.09</v>
      </c>
      <c r="N21" s="24">
        <v>1</v>
      </c>
      <c r="O21" s="24" t="s">
        <v>81</v>
      </c>
      <c r="P21" s="24" t="s">
        <v>115</v>
      </c>
      <c r="Q21" s="24" t="s">
        <v>120</v>
      </c>
      <c r="R21" s="24" t="s">
        <v>98</v>
      </c>
      <c r="S21" s="26">
        <v>638.19000000000005</v>
      </c>
    </row>
    <row r="22" spans="1:19" x14ac:dyDescent="0.25">
      <c r="A22" s="17" t="s">
        <v>128</v>
      </c>
      <c r="B22" s="18">
        <v>45829</v>
      </c>
      <c r="C22" s="17" t="s">
        <v>33</v>
      </c>
      <c r="D22" s="19" t="s">
        <v>34</v>
      </c>
      <c r="E22" s="19" t="s">
        <v>31</v>
      </c>
      <c r="F22" s="17" t="s">
        <v>126</v>
      </c>
      <c r="G22" s="19" t="s">
        <v>23</v>
      </c>
      <c r="H22" s="19" t="s">
        <v>90</v>
      </c>
      <c r="I22" s="20">
        <v>45847</v>
      </c>
      <c r="J22" s="20">
        <v>45857</v>
      </c>
      <c r="K22" s="19">
        <v>260</v>
      </c>
      <c r="L22" s="21">
        <v>45.2</v>
      </c>
      <c r="M22" s="21">
        <v>11751.98</v>
      </c>
      <c r="N22" s="19">
        <v>10</v>
      </c>
      <c r="O22" s="19" t="s">
        <v>129</v>
      </c>
      <c r="P22" s="19" t="s">
        <v>3</v>
      </c>
      <c r="Q22" s="19" t="s">
        <v>82</v>
      </c>
      <c r="R22" s="19" t="s">
        <v>77</v>
      </c>
      <c r="S22" s="21">
        <v>352.56</v>
      </c>
    </row>
    <row r="23" spans="1:19" x14ac:dyDescent="0.25">
      <c r="A23" s="22" t="s">
        <v>130</v>
      </c>
      <c r="B23" s="23">
        <v>46111</v>
      </c>
      <c r="C23" s="22" t="s">
        <v>47</v>
      </c>
      <c r="D23" s="24" t="s">
        <v>37</v>
      </c>
      <c r="E23" s="24" t="s">
        <v>31</v>
      </c>
      <c r="F23" s="22" t="s">
        <v>79</v>
      </c>
      <c r="G23" s="24" t="s">
        <v>50</v>
      </c>
      <c r="H23" s="24" t="s">
        <v>101</v>
      </c>
      <c r="I23" s="25">
        <v>46125</v>
      </c>
      <c r="J23" s="25">
        <v>46129</v>
      </c>
      <c r="K23" s="24">
        <v>324</v>
      </c>
      <c r="L23" s="26">
        <v>34.64</v>
      </c>
      <c r="M23" s="26">
        <v>11223.46</v>
      </c>
      <c r="N23" s="24">
        <v>4</v>
      </c>
      <c r="O23" s="24" t="s">
        <v>102</v>
      </c>
      <c r="P23" s="24" t="s">
        <v>3</v>
      </c>
      <c r="Q23" s="24" t="s">
        <v>120</v>
      </c>
      <c r="R23" s="24" t="s">
        <v>83</v>
      </c>
      <c r="S23" s="26">
        <v>336.7</v>
      </c>
    </row>
    <row r="24" spans="1:19" x14ac:dyDescent="0.25">
      <c r="A24" s="17" t="s">
        <v>131</v>
      </c>
      <c r="B24" s="18">
        <v>46128</v>
      </c>
      <c r="C24" s="17" t="s">
        <v>39</v>
      </c>
      <c r="D24" s="19" t="s">
        <v>40</v>
      </c>
      <c r="E24" s="19" t="s">
        <v>41</v>
      </c>
      <c r="F24" s="17" t="s">
        <v>100</v>
      </c>
      <c r="G24" s="19" t="s">
        <v>23</v>
      </c>
      <c r="H24" s="19" t="s">
        <v>85</v>
      </c>
      <c r="I24" s="20">
        <v>46138</v>
      </c>
      <c r="J24" s="17"/>
      <c r="K24" s="19">
        <v>75</v>
      </c>
      <c r="L24" s="21">
        <v>63.89</v>
      </c>
      <c r="M24" s="21">
        <v>4791.49</v>
      </c>
      <c r="N24" s="19">
        <v>11</v>
      </c>
      <c r="O24" s="19" t="s">
        <v>75</v>
      </c>
      <c r="P24" s="19" t="s">
        <v>94</v>
      </c>
      <c r="Q24" s="19" t="s">
        <v>76</v>
      </c>
      <c r="R24" s="19" t="s">
        <v>77</v>
      </c>
      <c r="S24" s="21">
        <v>143.74</v>
      </c>
    </row>
    <row r="25" spans="1:19" x14ac:dyDescent="0.25">
      <c r="A25" s="22" t="s">
        <v>132</v>
      </c>
      <c r="B25" s="23">
        <v>45958</v>
      </c>
      <c r="C25" s="22" t="s">
        <v>21</v>
      </c>
      <c r="D25" s="24" t="s">
        <v>22</v>
      </c>
      <c r="E25" s="24" t="s">
        <v>23</v>
      </c>
      <c r="F25" s="22" t="s">
        <v>97</v>
      </c>
      <c r="G25" s="24" t="s">
        <v>31</v>
      </c>
      <c r="H25" s="24" t="s">
        <v>104</v>
      </c>
      <c r="I25" s="25">
        <v>45979</v>
      </c>
      <c r="J25" s="25">
        <v>45991</v>
      </c>
      <c r="K25" s="24">
        <v>492</v>
      </c>
      <c r="L25" s="26">
        <v>1176.25</v>
      </c>
      <c r="M25" s="26">
        <v>578714.84</v>
      </c>
      <c r="N25" s="24">
        <v>12</v>
      </c>
      <c r="O25" s="24" t="s">
        <v>102</v>
      </c>
      <c r="P25" s="24" t="s">
        <v>118</v>
      </c>
      <c r="Q25" s="24" t="s">
        <v>82</v>
      </c>
      <c r="R25" s="24" t="s">
        <v>83</v>
      </c>
      <c r="S25" s="26">
        <v>17361.45</v>
      </c>
    </row>
    <row r="26" spans="1:19" x14ac:dyDescent="0.25">
      <c r="A26" s="17" t="s">
        <v>133</v>
      </c>
      <c r="B26" s="18">
        <v>46031</v>
      </c>
      <c r="C26" s="17" t="s">
        <v>49</v>
      </c>
      <c r="D26" s="19" t="s">
        <v>44</v>
      </c>
      <c r="E26" s="19" t="s">
        <v>50</v>
      </c>
      <c r="F26" s="17" t="s">
        <v>73</v>
      </c>
      <c r="G26" s="19" t="s">
        <v>31</v>
      </c>
      <c r="H26" s="19" t="s">
        <v>122</v>
      </c>
      <c r="I26" s="20">
        <v>46036</v>
      </c>
      <c r="J26" s="20">
        <v>46047</v>
      </c>
      <c r="K26" s="19">
        <v>406</v>
      </c>
      <c r="L26" s="21">
        <v>927.74</v>
      </c>
      <c r="M26" s="21">
        <v>376664.06</v>
      </c>
      <c r="N26" s="19">
        <v>11</v>
      </c>
      <c r="O26" s="19" t="s">
        <v>129</v>
      </c>
      <c r="P26" s="19" t="s">
        <v>3</v>
      </c>
      <c r="Q26" s="19" t="s">
        <v>76</v>
      </c>
      <c r="R26" s="19" t="s">
        <v>98</v>
      </c>
      <c r="S26" s="21">
        <v>11299.92</v>
      </c>
    </row>
    <row r="27" spans="1:19" x14ac:dyDescent="0.25">
      <c r="A27" s="22" t="s">
        <v>134</v>
      </c>
      <c r="B27" s="23">
        <v>46055</v>
      </c>
      <c r="C27" s="22" t="s">
        <v>43</v>
      </c>
      <c r="D27" s="24" t="s">
        <v>44</v>
      </c>
      <c r="E27" s="24" t="s">
        <v>45</v>
      </c>
      <c r="F27" s="22" t="s">
        <v>97</v>
      </c>
      <c r="G27" s="24" t="s">
        <v>31</v>
      </c>
      <c r="H27" s="24" t="s">
        <v>74</v>
      </c>
      <c r="I27" s="25">
        <v>46062</v>
      </c>
      <c r="J27" s="22"/>
      <c r="K27" s="24">
        <v>426</v>
      </c>
      <c r="L27" s="26">
        <v>1210.1300000000001</v>
      </c>
      <c r="M27" s="26">
        <v>515514.04</v>
      </c>
      <c r="N27" s="24">
        <v>0</v>
      </c>
      <c r="O27" s="24" t="s">
        <v>81</v>
      </c>
      <c r="P27" s="24" t="s">
        <v>94</v>
      </c>
      <c r="Q27" s="24" t="s">
        <v>87</v>
      </c>
      <c r="R27" s="24" t="s">
        <v>77</v>
      </c>
      <c r="S27" s="26">
        <v>15465.42</v>
      </c>
    </row>
    <row r="28" spans="1:19" x14ac:dyDescent="0.25">
      <c r="A28" s="17" t="s">
        <v>135</v>
      </c>
      <c r="B28" s="18">
        <v>45909</v>
      </c>
      <c r="C28" s="17" t="s">
        <v>47</v>
      </c>
      <c r="D28" s="19" t="s">
        <v>37</v>
      </c>
      <c r="E28" s="19" t="s">
        <v>31</v>
      </c>
      <c r="F28" s="17" t="s">
        <v>136</v>
      </c>
      <c r="G28" s="19" t="s">
        <v>23</v>
      </c>
      <c r="H28" s="19" t="s">
        <v>107</v>
      </c>
      <c r="I28" s="20">
        <v>45923</v>
      </c>
      <c r="J28" s="20">
        <v>45936</v>
      </c>
      <c r="K28" s="19">
        <v>310</v>
      </c>
      <c r="L28" s="21">
        <v>87.02</v>
      </c>
      <c r="M28" s="21">
        <v>26976.86</v>
      </c>
      <c r="N28" s="19">
        <v>13</v>
      </c>
      <c r="O28" s="19" t="s">
        <v>117</v>
      </c>
      <c r="P28" s="19" t="s">
        <v>3</v>
      </c>
      <c r="Q28" s="19" t="s">
        <v>124</v>
      </c>
      <c r="R28" s="19" t="s">
        <v>77</v>
      </c>
      <c r="S28" s="21">
        <v>809.31</v>
      </c>
    </row>
    <row r="29" spans="1:19" x14ac:dyDescent="0.25">
      <c r="A29" s="22" t="s">
        <v>137</v>
      </c>
      <c r="B29" s="23">
        <v>45960</v>
      </c>
      <c r="C29" s="22" t="s">
        <v>26</v>
      </c>
      <c r="D29" s="24" t="s">
        <v>27</v>
      </c>
      <c r="E29" s="24" t="s">
        <v>23</v>
      </c>
      <c r="F29" s="22" t="s">
        <v>126</v>
      </c>
      <c r="G29" s="24" t="s">
        <v>23</v>
      </c>
      <c r="H29" s="24" t="s">
        <v>85</v>
      </c>
      <c r="I29" s="25">
        <v>45990</v>
      </c>
      <c r="J29" s="22"/>
      <c r="K29" s="24">
        <v>176</v>
      </c>
      <c r="L29" s="26">
        <v>46.22</v>
      </c>
      <c r="M29" s="26">
        <v>8134.4</v>
      </c>
      <c r="N29" s="24">
        <v>0</v>
      </c>
      <c r="O29" s="24" t="s">
        <v>81</v>
      </c>
      <c r="P29" s="24" t="s">
        <v>94</v>
      </c>
      <c r="Q29" s="24" t="s">
        <v>82</v>
      </c>
      <c r="R29" s="24" t="s">
        <v>77</v>
      </c>
      <c r="S29" s="26">
        <v>244.03</v>
      </c>
    </row>
    <row r="30" spans="1:19" x14ac:dyDescent="0.25">
      <c r="A30" s="17" t="s">
        <v>138</v>
      </c>
      <c r="B30" s="18">
        <v>46033</v>
      </c>
      <c r="C30" s="17" t="s">
        <v>49</v>
      </c>
      <c r="D30" s="19" t="s">
        <v>44</v>
      </c>
      <c r="E30" s="19" t="s">
        <v>50</v>
      </c>
      <c r="F30" s="17" t="s">
        <v>136</v>
      </c>
      <c r="G30" s="19" t="s">
        <v>23</v>
      </c>
      <c r="H30" s="19" t="s">
        <v>101</v>
      </c>
      <c r="I30" s="20">
        <v>46038</v>
      </c>
      <c r="J30" s="20">
        <v>46041</v>
      </c>
      <c r="K30" s="19">
        <v>172</v>
      </c>
      <c r="L30" s="21">
        <v>90.55</v>
      </c>
      <c r="M30" s="21">
        <v>15574.03</v>
      </c>
      <c r="N30" s="19">
        <v>3</v>
      </c>
      <c r="O30" s="19" t="s">
        <v>91</v>
      </c>
      <c r="P30" s="19" t="s">
        <v>115</v>
      </c>
      <c r="Q30" s="19" t="s">
        <v>124</v>
      </c>
      <c r="R30" s="19" t="s">
        <v>95</v>
      </c>
      <c r="S30" s="21">
        <v>467.22</v>
      </c>
    </row>
    <row r="31" spans="1:19" x14ac:dyDescent="0.25">
      <c r="A31" s="22" t="s">
        <v>139</v>
      </c>
      <c r="B31" s="23">
        <v>46162</v>
      </c>
      <c r="C31" s="22" t="s">
        <v>36</v>
      </c>
      <c r="D31" s="24" t="s">
        <v>37</v>
      </c>
      <c r="E31" s="24" t="s">
        <v>23</v>
      </c>
      <c r="F31" s="22" t="s">
        <v>89</v>
      </c>
      <c r="G31" s="24" t="s">
        <v>54</v>
      </c>
      <c r="H31" s="24" t="s">
        <v>90</v>
      </c>
      <c r="I31" s="25">
        <v>46182</v>
      </c>
      <c r="J31" s="22"/>
      <c r="K31" s="24">
        <v>101</v>
      </c>
      <c r="L31" s="26">
        <v>201.22</v>
      </c>
      <c r="M31" s="26">
        <v>20323.57</v>
      </c>
      <c r="N31" s="24">
        <v>11</v>
      </c>
      <c r="O31" s="24" t="s">
        <v>81</v>
      </c>
      <c r="P31" s="24" t="s">
        <v>94</v>
      </c>
      <c r="Q31" s="24" t="s">
        <v>124</v>
      </c>
      <c r="R31" s="24" t="s">
        <v>95</v>
      </c>
      <c r="S31" s="26">
        <v>609.71</v>
      </c>
    </row>
    <row r="32" spans="1:19" x14ac:dyDescent="0.25">
      <c r="A32" s="17" t="s">
        <v>140</v>
      </c>
      <c r="B32" s="18">
        <v>46041</v>
      </c>
      <c r="C32" s="17" t="s">
        <v>43</v>
      </c>
      <c r="D32" s="19" t="s">
        <v>44</v>
      </c>
      <c r="E32" s="19" t="s">
        <v>45</v>
      </c>
      <c r="F32" s="17" t="s">
        <v>89</v>
      </c>
      <c r="G32" s="19" t="s">
        <v>54</v>
      </c>
      <c r="H32" s="19" t="s">
        <v>90</v>
      </c>
      <c r="I32" s="20">
        <v>46048</v>
      </c>
      <c r="J32" s="20">
        <v>46056</v>
      </c>
      <c r="K32" s="19">
        <v>274</v>
      </c>
      <c r="L32" s="21">
        <v>234.68</v>
      </c>
      <c r="M32" s="21">
        <v>64303.63</v>
      </c>
      <c r="N32" s="19">
        <v>8</v>
      </c>
      <c r="O32" s="19" t="s">
        <v>86</v>
      </c>
      <c r="P32" s="19" t="s">
        <v>3</v>
      </c>
      <c r="Q32" s="19" t="s">
        <v>87</v>
      </c>
      <c r="R32" s="19" t="s">
        <v>77</v>
      </c>
      <c r="S32" s="21">
        <v>1929.11</v>
      </c>
    </row>
    <row r="33" spans="1:19" x14ac:dyDescent="0.25">
      <c r="A33" s="22" t="s">
        <v>141</v>
      </c>
      <c r="B33" s="23">
        <v>46098</v>
      </c>
      <c r="C33" s="22" t="s">
        <v>29</v>
      </c>
      <c r="D33" s="24" t="s">
        <v>30</v>
      </c>
      <c r="E33" s="24" t="s">
        <v>31</v>
      </c>
      <c r="F33" s="22" t="s">
        <v>142</v>
      </c>
      <c r="G33" s="24" t="s">
        <v>41</v>
      </c>
      <c r="H33" s="24" t="s">
        <v>90</v>
      </c>
      <c r="I33" s="25">
        <v>46120</v>
      </c>
      <c r="J33" s="25">
        <v>46125</v>
      </c>
      <c r="K33" s="24">
        <v>430</v>
      </c>
      <c r="L33" s="26">
        <v>78.83</v>
      </c>
      <c r="M33" s="26">
        <v>33897.019999999997</v>
      </c>
      <c r="N33" s="24">
        <v>5</v>
      </c>
      <c r="O33" s="24" t="s">
        <v>75</v>
      </c>
      <c r="P33" s="24" t="s">
        <v>3</v>
      </c>
      <c r="Q33" s="24" t="s">
        <v>87</v>
      </c>
      <c r="R33" s="24" t="s">
        <v>95</v>
      </c>
      <c r="S33" s="26">
        <v>1016.91</v>
      </c>
    </row>
    <row r="34" spans="1:19" x14ac:dyDescent="0.25">
      <c r="A34" s="17" t="s">
        <v>143</v>
      </c>
      <c r="B34" s="18">
        <v>46062</v>
      </c>
      <c r="C34" s="17" t="s">
        <v>26</v>
      </c>
      <c r="D34" s="19" t="s">
        <v>27</v>
      </c>
      <c r="E34" s="19" t="s">
        <v>23</v>
      </c>
      <c r="F34" s="17" t="s">
        <v>97</v>
      </c>
      <c r="G34" s="19" t="s">
        <v>31</v>
      </c>
      <c r="H34" s="19" t="s">
        <v>101</v>
      </c>
      <c r="I34" s="20">
        <v>46092</v>
      </c>
      <c r="J34" s="17"/>
      <c r="K34" s="19">
        <v>178</v>
      </c>
      <c r="L34" s="21">
        <v>1297.28</v>
      </c>
      <c r="M34" s="21">
        <v>230915.97</v>
      </c>
      <c r="N34" s="19">
        <v>5</v>
      </c>
      <c r="O34" s="19" t="s">
        <v>109</v>
      </c>
      <c r="P34" s="19" t="s">
        <v>94</v>
      </c>
      <c r="Q34" s="19" t="s">
        <v>82</v>
      </c>
      <c r="R34" s="19" t="s">
        <v>77</v>
      </c>
      <c r="S34" s="21">
        <v>6927.48</v>
      </c>
    </row>
    <row r="35" spans="1:19" x14ac:dyDescent="0.25">
      <c r="A35" s="22" t="s">
        <v>144</v>
      </c>
      <c r="B35" s="23">
        <v>46165</v>
      </c>
      <c r="C35" s="22" t="s">
        <v>49</v>
      </c>
      <c r="D35" s="24" t="s">
        <v>44</v>
      </c>
      <c r="E35" s="24" t="s">
        <v>50</v>
      </c>
      <c r="F35" s="22" t="s">
        <v>142</v>
      </c>
      <c r="G35" s="24" t="s">
        <v>41</v>
      </c>
      <c r="H35" s="24" t="s">
        <v>80</v>
      </c>
      <c r="I35" s="25">
        <v>46170</v>
      </c>
      <c r="J35" s="25">
        <v>46177</v>
      </c>
      <c r="K35" s="24">
        <v>184</v>
      </c>
      <c r="L35" s="26">
        <v>72.72</v>
      </c>
      <c r="M35" s="26">
        <v>13380.6</v>
      </c>
      <c r="N35" s="24">
        <v>7</v>
      </c>
      <c r="O35" s="24" t="s">
        <v>81</v>
      </c>
      <c r="P35" s="24" t="s">
        <v>3</v>
      </c>
      <c r="Q35" s="24" t="s">
        <v>120</v>
      </c>
      <c r="R35" s="24" t="s">
        <v>98</v>
      </c>
      <c r="S35" s="26">
        <v>401.42</v>
      </c>
    </row>
    <row r="36" spans="1:19" x14ac:dyDescent="0.25">
      <c r="A36" s="17" t="s">
        <v>145</v>
      </c>
      <c r="B36" s="18">
        <v>46128</v>
      </c>
      <c r="C36" s="17" t="s">
        <v>29</v>
      </c>
      <c r="D36" s="19" t="s">
        <v>30</v>
      </c>
      <c r="E36" s="19" t="s">
        <v>31</v>
      </c>
      <c r="F36" s="17" t="s">
        <v>73</v>
      </c>
      <c r="G36" s="19" t="s">
        <v>31</v>
      </c>
      <c r="H36" s="19" t="s">
        <v>90</v>
      </c>
      <c r="I36" s="20">
        <v>46150</v>
      </c>
      <c r="J36" s="17"/>
      <c r="K36" s="19">
        <v>477</v>
      </c>
      <c r="L36" s="21">
        <v>827.77</v>
      </c>
      <c r="M36" s="21">
        <v>394844.72</v>
      </c>
      <c r="N36" s="19">
        <v>1</v>
      </c>
      <c r="O36" s="19" t="s">
        <v>117</v>
      </c>
      <c r="P36" s="19" t="s">
        <v>94</v>
      </c>
      <c r="Q36" s="19" t="s">
        <v>76</v>
      </c>
      <c r="R36" s="19" t="s">
        <v>83</v>
      </c>
      <c r="S36" s="21">
        <v>11845.34</v>
      </c>
    </row>
    <row r="37" spans="1:19" x14ac:dyDescent="0.25">
      <c r="A37" s="22" t="s">
        <v>146</v>
      </c>
      <c r="B37" s="23">
        <v>46009</v>
      </c>
      <c r="C37" s="22" t="s">
        <v>49</v>
      </c>
      <c r="D37" s="24" t="s">
        <v>44</v>
      </c>
      <c r="E37" s="24" t="s">
        <v>50</v>
      </c>
      <c r="F37" s="22" t="s">
        <v>114</v>
      </c>
      <c r="G37" s="24" t="s">
        <v>45</v>
      </c>
      <c r="H37" s="24" t="s">
        <v>80</v>
      </c>
      <c r="I37" s="25">
        <v>46014</v>
      </c>
      <c r="J37" s="25">
        <v>46022</v>
      </c>
      <c r="K37" s="24">
        <v>157</v>
      </c>
      <c r="L37" s="26">
        <v>12.44</v>
      </c>
      <c r="M37" s="26">
        <v>1952.6</v>
      </c>
      <c r="N37" s="24">
        <v>8</v>
      </c>
      <c r="O37" s="24" t="s">
        <v>91</v>
      </c>
      <c r="P37" s="24" t="s">
        <v>3</v>
      </c>
      <c r="Q37" s="24" t="s">
        <v>82</v>
      </c>
      <c r="R37" s="24" t="s">
        <v>95</v>
      </c>
      <c r="S37" s="26">
        <v>58.58</v>
      </c>
    </row>
    <row r="38" spans="1:19" x14ac:dyDescent="0.25">
      <c r="A38" s="17" t="s">
        <v>147</v>
      </c>
      <c r="B38" s="18">
        <v>46045</v>
      </c>
      <c r="C38" s="17" t="s">
        <v>29</v>
      </c>
      <c r="D38" s="19" t="s">
        <v>30</v>
      </c>
      <c r="E38" s="19" t="s">
        <v>31</v>
      </c>
      <c r="F38" s="17" t="s">
        <v>79</v>
      </c>
      <c r="G38" s="19" t="s">
        <v>50</v>
      </c>
      <c r="H38" s="19" t="s">
        <v>104</v>
      </c>
      <c r="I38" s="20">
        <v>46067</v>
      </c>
      <c r="J38" s="20">
        <v>46069</v>
      </c>
      <c r="K38" s="19">
        <v>62</v>
      </c>
      <c r="L38" s="21">
        <v>32.76</v>
      </c>
      <c r="M38" s="21">
        <v>2030.84</v>
      </c>
      <c r="N38" s="19">
        <v>2</v>
      </c>
      <c r="O38" s="19" t="s">
        <v>129</v>
      </c>
      <c r="P38" s="19" t="s">
        <v>3</v>
      </c>
      <c r="Q38" s="19" t="s">
        <v>87</v>
      </c>
      <c r="R38" s="19" t="s">
        <v>98</v>
      </c>
      <c r="S38" s="21">
        <v>60.93</v>
      </c>
    </row>
    <row r="39" spans="1:19" x14ac:dyDescent="0.25">
      <c r="A39" s="22" t="s">
        <v>148</v>
      </c>
      <c r="B39" s="23">
        <v>45807</v>
      </c>
      <c r="C39" s="22" t="s">
        <v>33</v>
      </c>
      <c r="D39" s="24" t="s">
        <v>34</v>
      </c>
      <c r="E39" s="24" t="s">
        <v>31</v>
      </c>
      <c r="F39" s="22" t="s">
        <v>142</v>
      </c>
      <c r="G39" s="24" t="s">
        <v>41</v>
      </c>
      <c r="H39" s="24" t="s">
        <v>104</v>
      </c>
      <c r="I39" s="25">
        <v>45825</v>
      </c>
      <c r="J39" s="25">
        <v>45825</v>
      </c>
      <c r="K39" s="24">
        <v>496</v>
      </c>
      <c r="L39" s="26">
        <v>70.8</v>
      </c>
      <c r="M39" s="26">
        <v>35118.839999999997</v>
      </c>
      <c r="N39" s="24">
        <v>0</v>
      </c>
      <c r="O39" s="24" t="s">
        <v>81</v>
      </c>
      <c r="P39" s="24" t="s">
        <v>118</v>
      </c>
      <c r="Q39" s="24" t="s">
        <v>120</v>
      </c>
      <c r="R39" s="24" t="s">
        <v>83</v>
      </c>
      <c r="S39" s="26">
        <v>1053.57</v>
      </c>
    </row>
    <row r="40" spans="1:19" x14ac:dyDescent="0.25">
      <c r="A40" s="17" t="s">
        <v>149</v>
      </c>
      <c r="B40" s="18">
        <v>46010</v>
      </c>
      <c r="C40" s="17" t="s">
        <v>33</v>
      </c>
      <c r="D40" s="19" t="s">
        <v>34</v>
      </c>
      <c r="E40" s="19" t="s">
        <v>31</v>
      </c>
      <c r="F40" s="17" t="s">
        <v>100</v>
      </c>
      <c r="G40" s="19" t="s">
        <v>23</v>
      </c>
      <c r="H40" s="19" t="s">
        <v>101</v>
      </c>
      <c r="I40" s="20">
        <v>46028</v>
      </c>
      <c r="J40" s="20">
        <v>46032</v>
      </c>
      <c r="K40" s="19">
        <v>387</v>
      </c>
      <c r="L40" s="21">
        <v>58.19</v>
      </c>
      <c r="M40" s="21">
        <v>22521.39</v>
      </c>
      <c r="N40" s="19">
        <v>4</v>
      </c>
      <c r="O40" s="19" t="s">
        <v>117</v>
      </c>
      <c r="P40" s="19" t="s">
        <v>3</v>
      </c>
      <c r="Q40" s="19" t="s">
        <v>87</v>
      </c>
      <c r="R40" s="19" t="s">
        <v>95</v>
      </c>
      <c r="S40" s="21">
        <v>675.64</v>
      </c>
    </row>
    <row r="41" spans="1:19" x14ac:dyDescent="0.25">
      <c r="A41" s="22" t="s">
        <v>150</v>
      </c>
      <c r="B41" s="23">
        <v>45838</v>
      </c>
      <c r="C41" s="22" t="s">
        <v>21</v>
      </c>
      <c r="D41" s="24" t="s">
        <v>22</v>
      </c>
      <c r="E41" s="24" t="s">
        <v>23</v>
      </c>
      <c r="F41" s="22" t="s">
        <v>142</v>
      </c>
      <c r="G41" s="24" t="s">
        <v>41</v>
      </c>
      <c r="H41" s="24" t="s">
        <v>101</v>
      </c>
      <c r="I41" s="25">
        <v>45859</v>
      </c>
      <c r="J41" s="25">
        <v>45872</v>
      </c>
      <c r="K41" s="24">
        <v>481</v>
      </c>
      <c r="L41" s="26">
        <v>78.56</v>
      </c>
      <c r="M41" s="26">
        <v>37789.75</v>
      </c>
      <c r="N41" s="24">
        <v>13</v>
      </c>
      <c r="O41" s="24" t="s">
        <v>81</v>
      </c>
      <c r="P41" s="24" t="s">
        <v>118</v>
      </c>
      <c r="Q41" s="24" t="s">
        <v>82</v>
      </c>
      <c r="R41" s="24" t="s">
        <v>77</v>
      </c>
      <c r="S41" s="26">
        <v>1133.69</v>
      </c>
    </row>
    <row r="42" spans="1:19" x14ac:dyDescent="0.25">
      <c r="A42" s="17" t="s">
        <v>151</v>
      </c>
      <c r="B42" s="18">
        <v>46147</v>
      </c>
      <c r="C42" s="17" t="s">
        <v>39</v>
      </c>
      <c r="D42" s="19" t="s">
        <v>40</v>
      </c>
      <c r="E42" s="19" t="s">
        <v>41</v>
      </c>
      <c r="F42" s="17" t="s">
        <v>114</v>
      </c>
      <c r="G42" s="19" t="s">
        <v>45</v>
      </c>
      <c r="H42" s="19" t="s">
        <v>74</v>
      </c>
      <c r="I42" s="20">
        <v>46157</v>
      </c>
      <c r="J42" s="17"/>
      <c r="K42" s="19">
        <v>272</v>
      </c>
      <c r="L42" s="21">
        <v>11.63</v>
      </c>
      <c r="M42" s="21">
        <v>3163.26</v>
      </c>
      <c r="N42" s="19">
        <v>0</v>
      </c>
      <c r="O42" s="19" t="s">
        <v>81</v>
      </c>
      <c r="P42" s="19" t="s">
        <v>94</v>
      </c>
      <c r="Q42" s="19" t="s">
        <v>87</v>
      </c>
      <c r="R42" s="19" t="s">
        <v>98</v>
      </c>
      <c r="S42" s="21">
        <v>94.9</v>
      </c>
    </row>
    <row r="43" spans="1:19" x14ac:dyDescent="0.25">
      <c r="A43" s="22" t="s">
        <v>152</v>
      </c>
      <c r="B43" s="23">
        <v>45969</v>
      </c>
      <c r="C43" s="22" t="s">
        <v>26</v>
      </c>
      <c r="D43" s="24" t="s">
        <v>27</v>
      </c>
      <c r="E43" s="24" t="s">
        <v>23</v>
      </c>
      <c r="F43" s="22" t="s">
        <v>93</v>
      </c>
      <c r="G43" s="24" t="s">
        <v>31</v>
      </c>
      <c r="H43" s="24" t="s">
        <v>90</v>
      </c>
      <c r="I43" s="25">
        <v>45999</v>
      </c>
      <c r="J43" s="25">
        <v>46002</v>
      </c>
      <c r="K43" s="24">
        <v>412</v>
      </c>
      <c r="L43" s="26">
        <v>2369.31</v>
      </c>
      <c r="M43" s="26">
        <v>976154.73</v>
      </c>
      <c r="N43" s="24">
        <v>3</v>
      </c>
      <c r="O43" s="24" t="s">
        <v>117</v>
      </c>
      <c r="P43" s="24" t="s">
        <v>3</v>
      </c>
      <c r="Q43" s="24" t="s">
        <v>76</v>
      </c>
      <c r="R43" s="24" t="s">
        <v>83</v>
      </c>
      <c r="S43" s="26">
        <v>29284.639999999999</v>
      </c>
    </row>
    <row r="44" spans="1:19" x14ac:dyDescent="0.25">
      <c r="A44" s="17" t="s">
        <v>153</v>
      </c>
      <c r="B44" s="18">
        <v>45826</v>
      </c>
      <c r="C44" s="17" t="s">
        <v>52</v>
      </c>
      <c r="D44" s="19" t="s">
        <v>53</v>
      </c>
      <c r="E44" s="19" t="s">
        <v>54</v>
      </c>
      <c r="F44" s="17" t="s">
        <v>79</v>
      </c>
      <c r="G44" s="19" t="s">
        <v>50</v>
      </c>
      <c r="H44" s="19" t="s">
        <v>90</v>
      </c>
      <c r="I44" s="20">
        <v>45851</v>
      </c>
      <c r="J44" s="17"/>
      <c r="K44" s="19">
        <v>389</v>
      </c>
      <c r="L44" s="21">
        <v>37.44</v>
      </c>
      <c r="M44" s="21">
        <v>14562.65</v>
      </c>
      <c r="N44" s="19">
        <v>7</v>
      </c>
      <c r="O44" s="19" t="s">
        <v>91</v>
      </c>
      <c r="P44" s="19" t="s">
        <v>94</v>
      </c>
      <c r="Q44" s="19" t="s">
        <v>87</v>
      </c>
      <c r="R44" s="19" t="s">
        <v>95</v>
      </c>
      <c r="S44" s="21">
        <v>436.88</v>
      </c>
    </row>
    <row r="45" spans="1:19" x14ac:dyDescent="0.25">
      <c r="A45" s="22" t="s">
        <v>154</v>
      </c>
      <c r="B45" s="23">
        <v>45810</v>
      </c>
      <c r="C45" s="22" t="s">
        <v>49</v>
      </c>
      <c r="D45" s="24" t="s">
        <v>44</v>
      </c>
      <c r="E45" s="24" t="s">
        <v>50</v>
      </c>
      <c r="F45" s="22" t="s">
        <v>89</v>
      </c>
      <c r="G45" s="24" t="s">
        <v>54</v>
      </c>
      <c r="H45" s="24" t="s">
        <v>122</v>
      </c>
      <c r="I45" s="25">
        <v>45815</v>
      </c>
      <c r="J45" s="22"/>
      <c r="K45" s="24">
        <v>148</v>
      </c>
      <c r="L45" s="26">
        <v>216.5</v>
      </c>
      <c r="M45" s="26">
        <v>32041.95</v>
      </c>
      <c r="N45" s="24">
        <v>6</v>
      </c>
      <c r="O45" s="24" t="s">
        <v>86</v>
      </c>
      <c r="P45" s="24" t="s">
        <v>94</v>
      </c>
      <c r="Q45" s="24" t="s">
        <v>120</v>
      </c>
      <c r="R45" s="24" t="s">
        <v>83</v>
      </c>
      <c r="S45" s="26">
        <v>961.26</v>
      </c>
    </row>
    <row r="46" spans="1:19" x14ac:dyDescent="0.25">
      <c r="A46" s="17" t="s">
        <v>155</v>
      </c>
      <c r="B46" s="18">
        <v>45959</v>
      </c>
      <c r="C46" s="17" t="s">
        <v>26</v>
      </c>
      <c r="D46" s="19" t="s">
        <v>27</v>
      </c>
      <c r="E46" s="19" t="s">
        <v>23</v>
      </c>
      <c r="F46" s="17" t="s">
        <v>136</v>
      </c>
      <c r="G46" s="19" t="s">
        <v>23</v>
      </c>
      <c r="H46" s="19" t="s">
        <v>74</v>
      </c>
      <c r="I46" s="20">
        <v>45989</v>
      </c>
      <c r="J46" s="20">
        <v>46003</v>
      </c>
      <c r="K46" s="19">
        <v>196</v>
      </c>
      <c r="L46" s="21">
        <v>89.49</v>
      </c>
      <c r="M46" s="21">
        <v>17540.72</v>
      </c>
      <c r="N46" s="19">
        <v>14</v>
      </c>
      <c r="O46" s="19" t="s">
        <v>112</v>
      </c>
      <c r="P46" s="19" t="s">
        <v>3</v>
      </c>
      <c r="Q46" s="19" t="s">
        <v>76</v>
      </c>
      <c r="R46" s="19" t="s">
        <v>95</v>
      </c>
      <c r="S46" s="21">
        <v>526.22</v>
      </c>
    </row>
    <row r="47" spans="1:19" x14ac:dyDescent="0.25">
      <c r="A47" s="22" t="s">
        <v>156</v>
      </c>
      <c r="B47" s="23">
        <v>45821</v>
      </c>
      <c r="C47" s="22" t="s">
        <v>36</v>
      </c>
      <c r="D47" s="24" t="s">
        <v>37</v>
      </c>
      <c r="E47" s="24" t="s">
        <v>23</v>
      </c>
      <c r="F47" s="22" t="s">
        <v>100</v>
      </c>
      <c r="G47" s="24" t="s">
        <v>23</v>
      </c>
      <c r="H47" s="24" t="s">
        <v>107</v>
      </c>
      <c r="I47" s="25">
        <v>45841</v>
      </c>
      <c r="J47" s="22"/>
      <c r="K47" s="24">
        <v>456</v>
      </c>
      <c r="L47" s="26">
        <v>66.97</v>
      </c>
      <c r="M47" s="26">
        <v>30540.44</v>
      </c>
      <c r="N47" s="24">
        <v>3</v>
      </c>
      <c r="O47" s="24" t="s">
        <v>109</v>
      </c>
      <c r="P47" s="24" t="s">
        <v>94</v>
      </c>
      <c r="Q47" s="24" t="s">
        <v>124</v>
      </c>
      <c r="R47" s="24" t="s">
        <v>77</v>
      </c>
      <c r="S47" s="26">
        <v>916.21</v>
      </c>
    </row>
    <row r="48" spans="1:19" x14ac:dyDescent="0.25">
      <c r="A48" s="17" t="s">
        <v>157</v>
      </c>
      <c r="B48" s="18">
        <v>46119</v>
      </c>
      <c r="C48" s="17" t="s">
        <v>39</v>
      </c>
      <c r="D48" s="19" t="s">
        <v>40</v>
      </c>
      <c r="E48" s="19" t="s">
        <v>41</v>
      </c>
      <c r="F48" s="17" t="s">
        <v>93</v>
      </c>
      <c r="G48" s="19" t="s">
        <v>31</v>
      </c>
      <c r="H48" s="19" t="s">
        <v>101</v>
      </c>
      <c r="I48" s="20">
        <v>46129</v>
      </c>
      <c r="J48" s="20">
        <v>46133</v>
      </c>
      <c r="K48" s="19">
        <v>165</v>
      </c>
      <c r="L48" s="21">
        <v>2547.15</v>
      </c>
      <c r="M48" s="21">
        <v>420279.78</v>
      </c>
      <c r="N48" s="19">
        <v>4</v>
      </c>
      <c r="O48" s="19" t="s">
        <v>112</v>
      </c>
      <c r="P48" s="19" t="s">
        <v>115</v>
      </c>
      <c r="Q48" s="19" t="s">
        <v>124</v>
      </c>
      <c r="R48" s="19" t="s">
        <v>77</v>
      </c>
      <c r="S48" s="21">
        <v>12608.39</v>
      </c>
    </row>
    <row r="49" spans="1:19" x14ac:dyDescent="0.25">
      <c r="A49" s="22" t="s">
        <v>158</v>
      </c>
      <c r="B49" s="23">
        <v>45854</v>
      </c>
      <c r="C49" s="22" t="s">
        <v>47</v>
      </c>
      <c r="D49" s="24" t="s">
        <v>37</v>
      </c>
      <c r="E49" s="24" t="s">
        <v>31</v>
      </c>
      <c r="F49" s="22" t="s">
        <v>97</v>
      </c>
      <c r="G49" s="24" t="s">
        <v>31</v>
      </c>
      <c r="H49" s="24" t="s">
        <v>107</v>
      </c>
      <c r="I49" s="25">
        <v>45868</v>
      </c>
      <c r="J49" s="25">
        <v>45867</v>
      </c>
      <c r="K49" s="24">
        <v>262</v>
      </c>
      <c r="L49" s="26">
        <v>1292.67</v>
      </c>
      <c r="M49" s="26">
        <v>338680.29</v>
      </c>
      <c r="N49" s="24">
        <v>0</v>
      </c>
      <c r="O49" s="24" t="s">
        <v>81</v>
      </c>
      <c r="P49" s="24" t="s">
        <v>118</v>
      </c>
      <c r="Q49" s="24" t="s">
        <v>76</v>
      </c>
      <c r="R49" s="24" t="s">
        <v>83</v>
      </c>
      <c r="S49" s="26">
        <v>10160.41</v>
      </c>
    </row>
    <row r="50" spans="1:19" x14ac:dyDescent="0.25">
      <c r="A50" s="17" t="s">
        <v>159</v>
      </c>
      <c r="B50" s="18">
        <v>46042</v>
      </c>
      <c r="C50" s="17" t="s">
        <v>49</v>
      </c>
      <c r="D50" s="19" t="s">
        <v>44</v>
      </c>
      <c r="E50" s="19" t="s">
        <v>50</v>
      </c>
      <c r="F50" s="17" t="s">
        <v>100</v>
      </c>
      <c r="G50" s="19" t="s">
        <v>23</v>
      </c>
      <c r="H50" s="19" t="s">
        <v>122</v>
      </c>
      <c r="I50" s="20">
        <v>46047</v>
      </c>
      <c r="J50" s="20">
        <v>46048</v>
      </c>
      <c r="K50" s="19">
        <v>434</v>
      </c>
      <c r="L50" s="21">
        <v>66.47</v>
      </c>
      <c r="M50" s="21">
        <v>28847.75</v>
      </c>
      <c r="N50" s="19">
        <v>1</v>
      </c>
      <c r="O50" s="19" t="s">
        <v>117</v>
      </c>
      <c r="P50" s="19" t="s">
        <v>115</v>
      </c>
      <c r="Q50" s="19" t="s">
        <v>82</v>
      </c>
      <c r="R50" s="19" t="s">
        <v>98</v>
      </c>
      <c r="S50" s="21">
        <v>865.43</v>
      </c>
    </row>
    <row r="51" spans="1:19" x14ac:dyDescent="0.25">
      <c r="A51" s="22" t="s">
        <v>160</v>
      </c>
      <c r="B51" s="23">
        <v>46141</v>
      </c>
      <c r="C51" s="22" t="s">
        <v>33</v>
      </c>
      <c r="D51" s="24" t="s">
        <v>34</v>
      </c>
      <c r="E51" s="24" t="s">
        <v>31</v>
      </c>
      <c r="F51" s="22" t="s">
        <v>114</v>
      </c>
      <c r="G51" s="24" t="s">
        <v>45</v>
      </c>
      <c r="H51" s="24" t="s">
        <v>107</v>
      </c>
      <c r="I51" s="25">
        <v>46159</v>
      </c>
      <c r="J51" s="25">
        <v>46173</v>
      </c>
      <c r="K51" s="24">
        <v>283</v>
      </c>
      <c r="L51" s="26">
        <v>11.12</v>
      </c>
      <c r="M51" s="26">
        <v>3146.96</v>
      </c>
      <c r="N51" s="24">
        <v>14</v>
      </c>
      <c r="O51" s="24" t="s">
        <v>75</v>
      </c>
      <c r="P51" s="24" t="s">
        <v>3</v>
      </c>
      <c r="Q51" s="24" t="s">
        <v>120</v>
      </c>
      <c r="R51" s="24" t="s">
        <v>95</v>
      </c>
      <c r="S51" s="26">
        <v>94.41</v>
      </c>
    </row>
    <row r="52" spans="1:19" x14ac:dyDescent="0.25">
      <c r="A52" s="17" t="s">
        <v>161</v>
      </c>
      <c r="B52" s="18">
        <v>45886</v>
      </c>
      <c r="C52" s="17" t="s">
        <v>36</v>
      </c>
      <c r="D52" s="19" t="s">
        <v>37</v>
      </c>
      <c r="E52" s="19" t="s">
        <v>23</v>
      </c>
      <c r="F52" s="17" t="s">
        <v>136</v>
      </c>
      <c r="G52" s="19" t="s">
        <v>23</v>
      </c>
      <c r="H52" s="19" t="s">
        <v>122</v>
      </c>
      <c r="I52" s="20">
        <v>45906</v>
      </c>
      <c r="J52" s="20">
        <v>45917</v>
      </c>
      <c r="K52" s="19">
        <v>280</v>
      </c>
      <c r="L52" s="21">
        <v>90.42</v>
      </c>
      <c r="M52" s="21">
        <v>25318.9</v>
      </c>
      <c r="N52" s="19">
        <v>11</v>
      </c>
      <c r="O52" s="19" t="s">
        <v>109</v>
      </c>
      <c r="P52" s="19" t="s">
        <v>3</v>
      </c>
      <c r="Q52" s="19" t="s">
        <v>124</v>
      </c>
      <c r="R52" s="19" t="s">
        <v>95</v>
      </c>
      <c r="S52" s="21">
        <v>759.57</v>
      </c>
    </row>
    <row r="53" spans="1:19" x14ac:dyDescent="0.25">
      <c r="A53" s="22" t="s">
        <v>162</v>
      </c>
      <c r="B53" s="23">
        <v>46026</v>
      </c>
      <c r="C53" s="22" t="s">
        <v>29</v>
      </c>
      <c r="D53" s="24" t="s">
        <v>30</v>
      </c>
      <c r="E53" s="24" t="s">
        <v>31</v>
      </c>
      <c r="F53" s="22" t="s">
        <v>100</v>
      </c>
      <c r="G53" s="24" t="s">
        <v>23</v>
      </c>
      <c r="H53" s="24" t="s">
        <v>85</v>
      </c>
      <c r="I53" s="25">
        <v>46048</v>
      </c>
      <c r="J53" s="25">
        <v>46059</v>
      </c>
      <c r="K53" s="24">
        <v>170</v>
      </c>
      <c r="L53" s="26">
        <v>59.17</v>
      </c>
      <c r="M53" s="26">
        <v>10058.780000000001</v>
      </c>
      <c r="N53" s="24">
        <v>11</v>
      </c>
      <c r="O53" s="24" t="s">
        <v>112</v>
      </c>
      <c r="P53" s="24" t="s">
        <v>3</v>
      </c>
      <c r="Q53" s="24" t="s">
        <v>87</v>
      </c>
      <c r="R53" s="24" t="s">
        <v>77</v>
      </c>
      <c r="S53" s="26">
        <v>301.76</v>
      </c>
    </row>
    <row r="54" spans="1:19" x14ac:dyDescent="0.25">
      <c r="A54" s="17" t="s">
        <v>163</v>
      </c>
      <c r="B54" s="18">
        <v>45970</v>
      </c>
      <c r="C54" s="17" t="s">
        <v>43</v>
      </c>
      <c r="D54" s="19" t="s">
        <v>44</v>
      </c>
      <c r="E54" s="19" t="s">
        <v>45</v>
      </c>
      <c r="F54" s="17" t="s">
        <v>114</v>
      </c>
      <c r="G54" s="19" t="s">
        <v>45</v>
      </c>
      <c r="H54" s="19" t="s">
        <v>85</v>
      </c>
      <c r="I54" s="20">
        <v>45977</v>
      </c>
      <c r="J54" s="20">
        <v>45978</v>
      </c>
      <c r="K54" s="19">
        <v>82</v>
      </c>
      <c r="L54" s="21">
        <v>11.8</v>
      </c>
      <c r="M54" s="21">
        <v>967.25</v>
      </c>
      <c r="N54" s="19">
        <v>1</v>
      </c>
      <c r="O54" s="19" t="s">
        <v>102</v>
      </c>
      <c r="P54" s="19" t="s">
        <v>115</v>
      </c>
      <c r="Q54" s="19" t="s">
        <v>87</v>
      </c>
      <c r="R54" s="19" t="s">
        <v>98</v>
      </c>
      <c r="S54" s="21">
        <v>29.02</v>
      </c>
    </row>
    <row r="55" spans="1:19" x14ac:dyDescent="0.25">
      <c r="A55" s="22" t="s">
        <v>164</v>
      </c>
      <c r="B55" s="23">
        <v>45951</v>
      </c>
      <c r="C55" s="22" t="s">
        <v>49</v>
      </c>
      <c r="D55" s="24" t="s">
        <v>44</v>
      </c>
      <c r="E55" s="24" t="s">
        <v>50</v>
      </c>
      <c r="F55" s="22" t="s">
        <v>73</v>
      </c>
      <c r="G55" s="24" t="s">
        <v>31</v>
      </c>
      <c r="H55" s="24" t="s">
        <v>85</v>
      </c>
      <c r="I55" s="25">
        <v>45956</v>
      </c>
      <c r="J55" s="22"/>
      <c r="K55" s="24">
        <v>488</v>
      </c>
      <c r="L55" s="26">
        <v>914.71</v>
      </c>
      <c r="M55" s="26">
        <v>446379.28</v>
      </c>
      <c r="N55" s="24">
        <v>9</v>
      </c>
      <c r="O55" s="24" t="s">
        <v>117</v>
      </c>
      <c r="P55" s="24" t="s">
        <v>94</v>
      </c>
      <c r="Q55" s="24" t="s">
        <v>76</v>
      </c>
      <c r="R55" s="24" t="s">
        <v>98</v>
      </c>
      <c r="S55" s="26">
        <v>13391.38</v>
      </c>
    </row>
    <row r="56" spans="1:19" x14ac:dyDescent="0.25">
      <c r="A56" s="17" t="s">
        <v>165</v>
      </c>
      <c r="B56" s="18">
        <v>46014</v>
      </c>
      <c r="C56" s="17" t="s">
        <v>36</v>
      </c>
      <c r="D56" s="19" t="s">
        <v>37</v>
      </c>
      <c r="E56" s="19" t="s">
        <v>23</v>
      </c>
      <c r="F56" s="17" t="s">
        <v>73</v>
      </c>
      <c r="G56" s="19" t="s">
        <v>31</v>
      </c>
      <c r="H56" s="19" t="s">
        <v>101</v>
      </c>
      <c r="I56" s="20">
        <v>46034</v>
      </c>
      <c r="J56" s="20">
        <v>46043</v>
      </c>
      <c r="K56" s="19">
        <v>432</v>
      </c>
      <c r="L56" s="21">
        <v>889.89</v>
      </c>
      <c r="M56" s="21">
        <v>384431.53</v>
      </c>
      <c r="N56" s="19">
        <v>9</v>
      </c>
      <c r="O56" s="19" t="s">
        <v>81</v>
      </c>
      <c r="P56" s="19" t="s">
        <v>118</v>
      </c>
      <c r="Q56" s="19" t="s">
        <v>76</v>
      </c>
      <c r="R56" s="19" t="s">
        <v>83</v>
      </c>
      <c r="S56" s="21">
        <v>11532.95</v>
      </c>
    </row>
    <row r="57" spans="1:19" x14ac:dyDescent="0.25">
      <c r="A57" s="22" t="s">
        <v>166</v>
      </c>
      <c r="B57" s="23">
        <v>45943</v>
      </c>
      <c r="C57" s="22" t="s">
        <v>36</v>
      </c>
      <c r="D57" s="24" t="s">
        <v>37</v>
      </c>
      <c r="E57" s="24" t="s">
        <v>23</v>
      </c>
      <c r="F57" s="22" t="s">
        <v>97</v>
      </c>
      <c r="G57" s="24" t="s">
        <v>31</v>
      </c>
      <c r="H57" s="24" t="s">
        <v>74</v>
      </c>
      <c r="I57" s="25">
        <v>45963</v>
      </c>
      <c r="J57" s="25">
        <v>45975</v>
      </c>
      <c r="K57" s="24">
        <v>222</v>
      </c>
      <c r="L57" s="26">
        <v>1240.53</v>
      </c>
      <c r="M57" s="26">
        <v>275397.59000000003</v>
      </c>
      <c r="N57" s="24">
        <v>12</v>
      </c>
      <c r="O57" s="24" t="s">
        <v>129</v>
      </c>
      <c r="P57" s="24" t="s">
        <v>3</v>
      </c>
      <c r="Q57" s="24" t="s">
        <v>120</v>
      </c>
      <c r="R57" s="24" t="s">
        <v>83</v>
      </c>
      <c r="S57" s="26">
        <v>8261.93</v>
      </c>
    </row>
    <row r="58" spans="1:19" x14ac:dyDescent="0.25">
      <c r="A58" s="17" t="s">
        <v>167</v>
      </c>
      <c r="B58" s="18">
        <v>45965</v>
      </c>
      <c r="C58" s="17" t="s">
        <v>36</v>
      </c>
      <c r="D58" s="19" t="s">
        <v>37</v>
      </c>
      <c r="E58" s="19" t="s">
        <v>23</v>
      </c>
      <c r="F58" s="17" t="s">
        <v>114</v>
      </c>
      <c r="G58" s="19" t="s">
        <v>45</v>
      </c>
      <c r="H58" s="19" t="s">
        <v>80</v>
      </c>
      <c r="I58" s="20">
        <v>45985</v>
      </c>
      <c r="J58" s="20">
        <v>45982</v>
      </c>
      <c r="K58" s="19">
        <v>379</v>
      </c>
      <c r="L58" s="21">
        <v>11.83</v>
      </c>
      <c r="M58" s="21">
        <v>4483.07</v>
      </c>
      <c r="N58" s="19">
        <v>0</v>
      </c>
      <c r="O58" s="19" t="s">
        <v>81</v>
      </c>
      <c r="P58" s="19" t="s">
        <v>3</v>
      </c>
      <c r="Q58" s="19" t="s">
        <v>120</v>
      </c>
      <c r="R58" s="19" t="s">
        <v>83</v>
      </c>
      <c r="S58" s="21">
        <v>134.49</v>
      </c>
    </row>
    <row r="59" spans="1:19" x14ac:dyDescent="0.25">
      <c r="A59" s="22" t="s">
        <v>168</v>
      </c>
      <c r="B59" s="23">
        <v>45999</v>
      </c>
      <c r="C59" s="22" t="s">
        <v>47</v>
      </c>
      <c r="D59" s="24" t="s">
        <v>37</v>
      </c>
      <c r="E59" s="24" t="s">
        <v>31</v>
      </c>
      <c r="F59" s="22" t="s">
        <v>142</v>
      </c>
      <c r="G59" s="24" t="s">
        <v>41</v>
      </c>
      <c r="H59" s="24" t="s">
        <v>122</v>
      </c>
      <c r="I59" s="25">
        <v>46013</v>
      </c>
      <c r="J59" s="25">
        <v>46016</v>
      </c>
      <c r="K59" s="24">
        <v>222</v>
      </c>
      <c r="L59" s="26">
        <v>82.08</v>
      </c>
      <c r="M59" s="26">
        <v>18220.689999999999</v>
      </c>
      <c r="N59" s="24">
        <v>3</v>
      </c>
      <c r="O59" s="24" t="s">
        <v>91</v>
      </c>
      <c r="P59" s="24" t="s">
        <v>118</v>
      </c>
      <c r="Q59" s="24" t="s">
        <v>120</v>
      </c>
      <c r="R59" s="24" t="s">
        <v>95</v>
      </c>
      <c r="S59" s="26">
        <v>546.62</v>
      </c>
    </row>
    <row r="60" spans="1:19" x14ac:dyDescent="0.25">
      <c r="A60" s="17" t="s">
        <v>169</v>
      </c>
      <c r="B60" s="18">
        <v>45926</v>
      </c>
      <c r="C60" s="17" t="s">
        <v>49</v>
      </c>
      <c r="D60" s="19" t="s">
        <v>44</v>
      </c>
      <c r="E60" s="19" t="s">
        <v>50</v>
      </c>
      <c r="F60" s="17" t="s">
        <v>142</v>
      </c>
      <c r="G60" s="19" t="s">
        <v>41</v>
      </c>
      <c r="H60" s="19" t="s">
        <v>90</v>
      </c>
      <c r="I60" s="20">
        <v>45931</v>
      </c>
      <c r="J60" s="20">
        <v>45928</v>
      </c>
      <c r="K60" s="19">
        <v>326</v>
      </c>
      <c r="L60" s="21">
        <v>71.010000000000005</v>
      </c>
      <c r="M60" s="21">
        <v>23150.09</v>
      </c>
      <c r="N60" s="19">
        <v>0</v>
      </c>
      <c r="O60" s="19" t="s">
        <v>81</v>
      </c>
      <c r="P60" s="19" t="s">
        <v>115</v>
      </c>
      <c r="Q60" s="19" t="s">
        <v>87</v>
      </c>
      <c r="R60" s="19" t="s">
        <v>83</v>
      </c>
      <c r="S60" s="21">
        <v>694.5</v>
      </c>
    </row>
    <row r="61" spans="1:19" x14ac:dyDescent="0.25">
      <c r="A61" s="22" t="s">
        <v>170</v>
      </c>
      <c r="B61" s="23">
        <v>46040</v>
      </c>
      <c r="C61" s="22" t="s">
        <v>21</v>
      </c>
      <c r="D61" s="24" t="s">
        <v>22</v>
      </c>
      <c r="E61" s="24" t="s">
        <v>23</v>
      </c>
      <c r="F61" s="22" t="s">
        <v>73</v>
      </c>
      <c r="G61" s="24" t="s">
        <v>31</v>
      </c>
      <c r="H61" s="24" t="s">
        <v>80</v>
      </c>
      <c r="I61" s="25">
        <v>46061</v>
      </c>
      <c r="J61" s="25">
        <v>46064</v>
      </c>
      <c r="K61" s="24">
        <v>128</v>
      </c>
      <c r="L61" s="26">
        <v>805.55</v>
      </c>
      <c r="M61" s="26">
        <v>103110.74</v>
      </c>
      <c r="N61" s="24">
        <v>3</v>
      </c>
      <c r="O61" s="24" t="s">
        <v>81</v>
      </c>
      <c r="P61" s="24" t="s">
        <v>3</v>
      </c>
      <c r="Q61" s="24" t="s">
        <v>120</v>
      </c>
      <c r="R61" s="24" t="s">
        <v>77</v>
      </c>
      <c r="S61" s="26">
        <v>3093.32</v>
      </c>
    </row>
    <row r="62" spans="1:19" x14ac:dyDescent="0.25">
      <c r="A62" s="17" t="s">
        <v>171</v>
      </c>
      <c r="B62" s="18">
        <v>45808</v>
      </c>
      <c r="C62" s="17" t="s">
        <v>26</v>
      </c>
      <c r="D62" s="19" t="s">
        <v>27</v>
      </c>
      <c r="E62" s="19" t="s">
        <v>23</v>
      </c>
      <c r="F62" s="17" t="s">
        <v>97</v>
      </c>
      <c r="G62" s="19" t="s">
        <v>31</v>
      </c>
      <c r="H62" s="19" t="s">
        <v>107</v>
      </c>
      <c r="I62" s="20">
        <v>45838</v>
      </c>
      <c r="J62" s="20">
        <v>45843</v>
      </c>
      <c r="K62" s="19">
        <v>360</v>
      </c>
      <c r="L62" s="21">
        <v>1225.74</v>
      </c>
      <c r="M62" s="21">
        <v>441266.18</v>
      </c>
      <c r="N62" s="19">
        <v>5</v>
      </c>
      <c r="O62" s="19" t="s">
        <v>86</v>
      </c>
      <c r="P62" s="19" t="s">
        <v>3</v>
      </c>
      <c r="Q62" s="19" t="s">
        <v>82</v>
      </c>
      <c r="R62" s="19" t="s">
        <v>83</v>
      </c>
      <c r="S62" s="21">
        <v>13237.99</v>
      </c>
    </row>
    <row r="63" spans="1:19" x14ac:dyDescent="0.25">
      <c r="A63" s="22" t="s">
        <v>172</v>
      </c>
      <c r="B63" s="23">
        <v>46007</v>
      </c>
      <c r="C63" s="22" t="s">
        <v>39</v>
      </c>
      <c r="D63" s="24" t="s">
        <v>40</v>
      </c>
      <c r="E63" s="24" t="s">
        <v>41</v>
      </c>
      <c r="F63" s="22" t="s">
        <v>126</v>
      </c>
      <c r="G63" s="24" t="s">
        <v>23</v>
      </c>
      <c r="H63" s="24" t="s">
        <v>80</v>
      </c>
      <c r="I63" s="25">
        <v>46017</v>
      </c>
      <c r="J63" s="25">
        <v>46026</v>
      </c>
      <c r="K63" s="24">
        <v>88</v>
      </c>
      <c r="L63" s="26">
        <v>46.34</v>
      </c>
      <c r="M63" s="26">
        <v>4077.75</v>
      </c>
      <c r="N63" s="24">
        <v>9</v>
      </c>
      <c r="O63" s="24" t="s">
        <v>102</v>
      </c>
      <c r="P63" s="24" t="s">
        <v>118</v>
      </c>
      <c r="Q63" s="24" t="s">
        <v>124</v>
      </c>
      <c r="R63" s="24" t="s">
        <v>77</v>
      </c>
      <c r="S63" s="26">
        <v>122.33</v>
      </c>
    </row>
    <row r="64" spans="1:19" x14ac:dyDescent="0.25">
      <c r="A64" s="17" t="s">
        <v>173</v>
      </c>
      <c r="B64" s="18">
        <v>45877</v>
      </c>
      <c r="C64" s="17" t="s">
        <v>39</v>
      </c>
      <c r="D64" s="19" t="s">
        <v>40</v>
      </c>
      <c r="E64" s="19" t="s">
        <v>41</v>
      </c>
      <c r="F64" s="17" t="s">
        <v>136</v>
      </c>
      <c r="G64" s="19" t="s">
        <v>23</v>
      </c>
      <c r="H64" s="19" t="s">
        <v>90</v>
      </c>
      <c r="I64" s="20">
        <v>45887</v>
      </c>
      <c r="J64" s="20">
        <v>45885</v>
      </c>
      <c r="K64" s="19">
        <v>322</v>
      </c>
      <c r="L64" s="21">
        <v>93.64</v>
      </c>
      <c r="M64" s="21">
        <v>30151.82</v>
      </c>
      <c r="N64" s="19">
        <v>0</v>
      </c>
      <c r="O64" s="19" t="s">
        <v>81</v>
      </c>
      <c r="P64" s="19" t="s">
        <v>3</v>
      </c>
      <c r="Q64" s="19" t="s">
        <v>87</v>
      </c>
      <c r="R64" s="19" t="s">
        <v>77</v>
      </c>
      <c r="S64" s="21">
        <v>904.55</v>
      </c>
    </row>
    <row r="65" spans="1:19" x14ac:dyDescent="0.25">
      <c r="A65" s="22" t="s">
        <v>174</v>
      </c>
      <c r="B65" s="23">
        <v>45951</v>
      </c>
      <c r="C65" s="22" t="s">
        <v>29</v>
      </c>
      <c r="D65" s="24" t="s">
        <v>30</v>
      </c>
      <c r="E65" s="24" t="s">
        <v>31</v>
      </c>
      <c r="F65" s="22" t="s">
        <v>89</v>
      </c>
      <c r="G65" s="24" t="s">
        <v>54</v>
      </c>
      <c r="H65" s="24" t="s">
        <v>80</v>
      </c>
      <c r="I65" s="25">
        <v>45973</v>
      </c>
      <c r="J65" s="25">
        <v>45985</v>
      </c>
      <c r="K65" s="24">
        <v>235</v>
      </c>
      <c r="L65" s="26">
        <v>225.97</v>
      </c>
      <c r="M65" s="26">
        <v>53101.95</v>
      </c>
      <c r="N65" s="24">
        <v>12</v>
      </c>
      <c r="O65" s="24" t="s">
        <v>129</v>
      </c>
      <c r="P65" s="24" t="s">
        <v>3</v>
      </c>
      <c r="Q65" s="24" t="s">
        <v>120</v>
      </c>
      <c r="R65" s="24" t="s">
        <v>83</v>
      </c>
      <c r="S65" s="26">
        <v>1593.06</v>
      </c>
    </row>
    <row r="66" spans="1:19" x14ac:dyDescent="0.25">
      <c r="A66" s="17" t="s">
        <v>175</v>
      </c>
      <c r="B66" s="18">
        <v>45851</v>
      </c>
      <c r="C66" s="17" t="s">
        <v>49</v>
      </c>
      <c r="D66" s="19" t="s">
        <v>44</v>
      </c>
      <c r="E66" s="19" t="s">
        <v>50</v>
      </c>
      <c r="F66" s="17" t="s">
        <v>114</v>
      </c>
      <c r="G66" s="19" t="s">
        <v>45</v>
      </c>
      <c r="H66" s="19" t="s">
        <v>74</v>
      </c>
      <c r="I66" s="20">
        <v>45856</v>
      </c>
      <c r="J66" s="20">
        <v>45870</v>
      </c>
      <c r="K66" s="19">
        <v>273</v>
      </c>
      <c r="L66" s="21">
        <v>12.78</v>
      </c>
      <c r="M66" s="21">
        <v>3489.42</v>
      </c>
      <c r="N66" s="19">
        <v>14</v>
      </c>
      <c r="O66" s="19" t="s">
        <v>109</v>
      </c>
      <c r="P66" s="19" t="s">
        <v>118</v>
      </c>
      <c r="Q66" s="19" t="s">
        <v>76</v>
      </c>
      <c r="R66" s="19" t="s">
        <v>95</v>
      </c>
      <c r="S66" s="21">
        <v>104.68</v>
      </c>
    </row>
    <row r="67" spans="1:19" x14ac:dyDescent="0.25">
      <c r="A67" s="22" t="s">
        <v>176</v>
      </c>
      <c r="B67" s="23">
        <v>46024</v>
      </c>
      <c r="C67" s="22" t="s">
        <v>52</v>
      </c>
      <c r="D67" s="24" t="s">
        <v>53</v>
      </c>
      <c r="E67" s="24" t="s">
        <v>54</v>
      </c>
      <c r="F67" s="22" t="s">
        <v>97</v>
      </c>
      <c r="G67" s="24" t="s">
        <v>31</v>
      </c>
      <c r="H67" s="24" t="s">
        <v>90</v>
      </c>
      <c r="I67" s="25">
        <v>46049</v>
      </c>
      <c r="J67" s="25">
        <v>46060</v>
      </c>
      <c r="K67" s="24">
        <v>341</v>
      </c>
      <c r="L67" s="26">
        <v>1226.48</v>
      </c>
      <c r="M67" s="26">
        <v>418229.55</v>
      </c>
      <c r="N67" s="24">
        <v>11</v>
      </c>
      <c r="O67" s="24" t="s">
        <v>109</v>
      </c>
      <c r="P67" s="24" t="s">
        <v>3</v>
      </c>
      <c r="Q67" s="24" t="s">
        <v>120</v>
      </c>
      <c r="R67" s="24" t="s">
        <v>95</v>
      </c>
      <c r="S67" s="26">
        <v>12546.89</v>
      </c>
    </row>
    <row r="68" spans="1:19" x14ac:dyDescent="0.25">
      <c r="A68" s="17" t="s">
        <v>177</v>
      </c>
      <c r="B68" s="18">
        <v>46073</v>
      </c>
      <c r="C68" s="17" t="s">
        <v>47</v>
      </c>
      <c r="D68" s="19" t="s">
        <v>37</v>
      </c>
      <c r="E68" s="19" t="s">
        <v>31</v>
      </c>
      <c r="F68" s="17" t="s">
        <v>100</v>
      </c>
      <c r="G68" s="19" t="s">
        <v>23</v>
      </c>
      <c r="H68" s="19" t="s">
        <v>101</v>
      </c>
      <c r="I68" s="20">
        <v>46087</v>
      </c>
      <c r="J68" s="20">
        <v>46099</v>
      </c>
      <c r="K68" s="19">
        <v>458</v>
      </c>
      <c r="L68" s="21">
        <v>59</v>
      </c>
      <c r="M68" s="21">
        <v>27023.64</v>
      </c>
      <c r="N68" s="19">
        <v>12</v>
      </c>
      <c r="O68" s="19" t="s">
        <v>91</v>
      </c>
      <c r="P68" s="19" t="s">
        <v>3</v>
      </c>
      <c r="Q68" s="19" t="s">
        <v>87</v>
      </c>
      <c r="R68" s="19" t="s">
        <v>95</v>
      </c>
      <c r="S68" s="21">
        <v>810.71</v>
      </c>
    </row>
    <row r="69" spans="1:19" x14ac:dyDescent="0.25">
      <c r="A69" s="22" t="s">
        <v>178</v>
      </c>
      <c r="B69" s="23">
        <v>46123</v>
      </c>
      <c r="C69" s="22" t="s">
        <v>29</v>
      </c>
      <c r="D69" s="24" t="s">
        <v>30</v>
      </c>
      <c r="E69" s="24" t="s">
        <v>31</v>
      </c>
      <c r="F69" s="22" t="s">
        <v>73</v>
      </c>
      <c r="G69" s="24" t="s">
        <v>31</v>
      </c>
      <c r="H69" s="24" t="s">
        <v>85</v>
      </c>
      <c r="I69" s="25">
        <v>46145</v>
      </c>
      <c r="J69" s="25">
        <v>46149</v>
      </c>
      <c r="K69" s="24">
        <v>300</v>
      </c>
      <c r="L69" s="26">
        <v>859.38</v>
      </c>
      <c r="M69" s="26">
        <v>257813.99</v>
      </c>
      <c r="N69" s="24">
        <v>4</v>
      </c>
      <c r="O69" s="24" t="s">
        <v>129</v>
      </c>
      <c r="P69" s="24" t="s">
        <v>115</v>
      </c>
      <c r="Q69" s="24" t="s">
        <v>124</v>
      </c>
      <c r="R69" s="24" t="s">
        <v>98</v>
      </c>
      <c r="S69" s="26">
        <v>7734.42</v>
      </c>
    </row>
    <row r="70" spans="1:19" x14ac:dyDescent="0.25">
      <c r="A70" s="17" t="s">
        <v>179</v>
      </c>
      <c r="B70" s="18">
        <v>46119</v>
      </c>
      <c r="C70" s="17" t="s">
        <v>36</v>
      </c>
      <c r="D70" s="19" t="s">
        <v>37</v>
      </c>
      <c r="E70" s="19" t="s">
        <v>23</v>
      </c>
      <c r="F70" s="17" t="s">
        <v>100</v>
      </c>
      <c r="G70" s="19" t="s">
        <v>23</v>
      </c>
      <c r="H70" s="19" t="s">
        <v>80</v>
      </c>
      <c r="I70" s="20">
        <v>46139</v>
      </c>
      <c r="J70" s="20">
        <v>46145</v>
      </c>
      <c r="K70" s="19">
        <v>404</v>
      </c>
      <c r="L70" s="21">
        <v>58.82</v>
      </c>
      <c r="M70" s="21">
        <v>23762.06</v>
      </c>
      <c r="N70" s="19">
        <v>6</v>
      </c>
      <c r="O70" s="19" t="s">
        <v>129</v>
      </c>
      <c r="P70" s="19" t="s">
        <v>3</v>
      </c>
      <c r="Q70" s="19" t="s">
        <v>76</v>
      </c>
      <c r="R70" s="19" t="s">
        <v>95</v>
      </c>
      <c r="S70" s="21">
        <v>712.86</v>
      </c>
    </row>
    <row r="71" spans="1:19" x14ac:dyDescent="0.25">
      <c r="A71" s="22" t="s">
        <v>180</v>
      </c>
      <c r="B71" s="23">
        <v>45949</v>
      </c>
      <c r="C71" s="22" t="s">
        <v>36</v>
      </c>
      <c r="D71" s="24" t="s">
        <v>37</v>
      </c>
      <c r="E71" s="24" t="s">
        <v>23</v>
      </c>
      <c r="F71" s="22" t="s">
        <v>93</v>
      </c>
      <c r="G71" s="24" t="s">
        <v>31</v>
      </c>
      <c r="H71" s="24" t="s">
        <v>101</v>
      </c>
      <c r="I71" s="25">
        <v>45969</v>
      </c>
      <c r="J71" s="25">
        <v>45983</v>
      </c>
      <c r="K71" s="24">
        <v>409</v>
      </c>
      <c r="L71" s="26">
        <v>2377.8000000000002</v>
      </c>
      <c r="M71" s="26">
        <v>972519.27</v>
      </c>
      <c r="N71" s="24">
        <v>14</v>
      </c>
      <c r="O71" s="24" t="s">
        <v>91</v>
      </c>
      <c r="P71" s="24" t="s">
        <v>3</v>
      </c>
      <c r="Q71" s="24" t="s">
        <v>87</v>
      </c>
      <c r="R71" s="24" t="s">
        <v>95</v>
      </c>
      <c r="S71" s="26">
        <v>29175.58</v>
      </c>
    </row>
    <row r="72" spans="1:19" x14ac:dyDescent="0.25">
      <c r="A72" s="17" t="s">
        <v>181</v>
      </c>
      <c r="B72" s="18">
        <v>46005</v>
      </c>
      <c r="C72" s="17" t="s">
        <v>33</v>
      </c>
      <c r="D72" s="19" t="s">
        <v>34</v>
      </c>
      <c r="E72" s="19" t="s">
        <v>31</v>
      </c>
      <c r="F72" s="17" t="s">
        <v>126</v>
      </c>
      <c r="G72" s="19" t="s">
        <v>23</v>
      </c>
      <c r="H72" s="19" t="s">
        <v>85</v>
      </c>
      <c r="I72" s="20">
        <v>46023</v>
      </c>
      <c r="J72" s="20">
        <v>46023</v>
      </c>
      <c r="K72" s="19">
        <v>324</v>
      </c>
      <c r="L72" s="21">
        <v>49.6</v>
      </c>
      <c r="M72" s="21">
        <v>16071.37</v>
      </c>
      <c r="N72" s="19">
        <v>0</v>
      </c>
      <c r="O72" s="19" t="s">
        <v>81</v>
      </c>
      <c r="P72" s="19" t="s">
        <v>115</v>
      </c>
      <c r="Q72" s="19" t="s">
        <v>124</v>
      </c>
      <c r="R72" s="19" t="s">
        <v>83</v>
      </c>
      <c r="S72" s="21">
        <v>482.14</v>
      </c>
    </row>
    <row r="73" spans="1:19" x14ac:dyDescent="0.25">
      <c r="A73" s="22" t="s">
        <v>182</v>
      </c>
      <c r="B73" s="23">
        <v>45865</v>
      </c>
      <c r="C73" s="22" t="s">
        <v>33</v>
      </c>
      <c r="D73" s="24" t="s">
        <v>34</v>
      </c>
      <c r="E73" s="24" t="s">
        <v>31</v>
      </c>
      <c r="F73" s="22" t="s">
        <v>100</v>
      </c>
      <c r="G73" s="24" t="s">
        <v>23</v>
      </c>
      <c r="H73" s="24" t="s">
        <v>74</v>
      </c>
      <c r="I73" s="25">
        <v>45883</v>
      </c>
      <c r="J73" s="22"/>
      <c r="K73" s="24">
        <v>101</v>
      </c>
      <c r="L73" s="26">
        <v>66.12</v>
      </c>
      <c r="M73" s="26">
        <v>6678.58</v>
      </c>
      <c r="N73" s="24">
        <v>13</v>
      </c>
      <c r="O73" s="24" t="s">
        <v>112</v>
      </c>
      <c r="P73" s="24" t="s">
        <v>94</v>
      </c>
      <c r="Q73" s="24" t="s">
        <v>87</v>
      </c>
      <c r="R73" s="24" t="s">
        <v>83</v>
      </c>
      <c r="S73" s="26">
        <v>200.36</v>
      </c>
    </row>
    <row r="74" spans="1:19" x14ac:dyDescent="0.25">
      <c r="A74" s="17" t="s">
        <v>183</v>
      </c>
      <c r="B74" s="18">
        <v>46159</v>
      </c>
      <c r="C74" s="17" t="s">
        <v>52</v>
      </c>
      <c r="D74" s="19" t="s">
        <v>53</v>
      </c>
      <c r="E74" s="19" t="s">
        <v>54</v>
      </c>
      <c r="F74" s="17" t="s">
        <v>114</v>
      </c>
      <c r="G74" s="19" t="s">
        <v>45</v>
      </c>
      <c r="H74" s="19" t="s">
        <v>74</v>
      </c>
      <c r="I74" s="20">
        <v>46184</v>
      </c>
      <c r="J74" s="20">
        <v>46198</v>
      </c>
      <c r="K74" s="19">
        <v>73</v>
      </c>
      <c r="L74" s="21">
        <v>13.14</v>
      </c>
      <c r="M74" s="21">
        <v>959.1</v>
      </c>
      <c r="N74" s="19">
        <v>14</v>
      </c>
      <c r="O74" s="19" t="s">
        <v>112</v>
      </c>
      <c r="P74" s="19" t="s">
        <v>3</v>
      </c>
      <c r="Q74" s="19" t="s">
        <v>76</v>
      </c>
      <c r="R74" s="19" t="s">
        <v>95</v>
      </c>
      <c r="S74" s="21">
        <v>28.77</v>
      </c>
    </row>
    <row r="75" spans="1:19" x14ac:dyDescent="0.25">
      <c r="A75" s="22" t="s">
        <v>184</v>
      </c>
      <c r="B75" s="23">
        <v>46160</v>
      </c>
      <c r="C75" s="22" t="s">
        <v>43</v>
      </c>
      <c r="D75" s="24" t="s">
        <v>44</v>
      </c>
      <c r="E75" s="24" t="s">
        <v>45</v>
      </c>
      <c r="F75" s="22" t="s">
        <v>100</v>
      </c>
      <c r="G75" s="24" t="s">
        <v>23</v>
      </c>
      <c r="H75" s="24" t="s">
        <v>90</v>
      </c>
      <c r="I75" s="25">
        <v>46167</v>
      </c>
      <c r="J75" s="25">
        <v>46173</v>
      </c>
      <c r="K75" s="24">
        <v>275</v>
      </c>
      <c r="L75" s="26">
        <v>60.02</v>
      </c>
      <c r="M75" s="26">
        <v>16506.810000000001</v>
      </c>
      <c r="N75" s="24">
        <v>6</v>
      </c>
      <c r="O75" s="24" t="s">
        <v>109</v>
      </c>
      <c r="P75" s="24" t="s">
        <v>118</v>
      </c>
      <c r="Q75" s="24" t="s">
        <v>82</v>
      </c>
      <c r="R75" s="24" t="s">
        <v>95</v>
      </c>
      <c r="S75" s="26">
        <v>495.2</v>
      </c>
    </row>
    <row r="76" spans="1:19" x14ac:dyDescent="0.25">
      <c r="A76" s="17" t="s">
        <v>185</v>
      </c>
      <c r="B76" s="18">
        <v>45961</v>
      </c>
      <c r="C76" s="17" t="s">
        <v>36</v>
      </c>
      <c r="D76" s="19" t="s">
        <v>37</v>
      </c>
      <c r="E76" s="19" t="s">
        <v>23</v>
      </c>
      <c r="F76" s="17" t="s">
        <v>126</v>
      </c>
      <c r="G76" s="19" t="s">
        <v>23</v>
      </c>
      <c r="H76" s="19" t="s">
        <v>90</v>
      </c>
      <c r="I76" s="20">
        <v>45981</v>
      </c>
      <c r="J76" s="20">
        <v>45993</v>
      </c>
      <c r="K76" s="19">
        <v>372</v>
      </c>
      <c r="L76" s="21">
        <v>47.2</v>
      </c>
      <c r="M76" s="21">
        <v>17557.169999999998</v>
      </c>
      <c r="N76" s="19">
        <v>12</v>
      </c>
      <c r="O76" s="19" t="s">
        <v>81</v>
      </c>
      <c r="P76" s="19" t="s">
        <v>3</v>
      </c>
      <c r="Q76" s="19" t="s">
        <v>124</v>
      </c>
      <c r="R76" s="19" t="s">
        <v>83</v>
      </c>
      <c r="S76" s="21">
        <v>526.72</v>
      </c>
    </row>
    <row r="77" spans="1:19" x14ac:dyDescent="0.25">
      <c r="A77" s="22" t="s">
        <v>186</v>
      </c>
      <c r="B77" s="23">
        <v>46039</v>
      </c>
      <c r="C77" s="22" t="s">
        <v>26</v>
      </c>
      <c r="D77" s="24" t="s">
        <v>27</v>
      </c>
      <c r="E77" s="24" t="s">
        <v>23</v>
      </c>
      <c r="F77" s="22" t="s">
        <v>142</v>
      </c>
      <c r="G77" s="24" t="s">
        <v>41</v>
      </c>
      <c r="H77" s="24" t="s">
        <v>90</v>
      </c>
      <c r="I77" s="25">
        <v>46069</v>
      </c>
      <c r="J77" s="22"/>
      <c r="K77" s="24">
        <v>441</v>
      </c>
      <c r="L77" s="26">
        <v>76.69</v>
      </c>
      <c r="M77" s="26">
        <v>33821.31</v>
      </c>
      <c r="N77" s="24">
        <v>0</v>
      </c>
      <c r="O77" s="24" t="s">
        <v>81</v>
      </c>
      <c r="P77" s="24" t="s">
        <v>94</v>
      </c>
      <c r="Q77" s="24" t="s">
        <v>76</v>
      </c>
      <c r="R77" s="24" t="s">
        <v>83</v>
      </c>
      <c r="S77" s="26">
        <v>1014.64</v>
      </c>
    </row>
    <row r="78" spans="1:19" x14ac:dyDescent="0.25">
      <c r="A78" s="17" t="s">
        <v>187</v>
      </c>
      <c r="B78" s="18">
        <v>45940</v>
      </c>
      <c r="C78" s="17" t="s">
        <v>29</v>
      </c>
      <c r="D78" s="19" t="s">
        <v>30</v>
      </c>
      <c r="E78" s="19" t="s">
        <v>31</v>
      </c>
      <c r="F78" s="17" t="s">
        <v>79</v>
      </c>
      <c r="G78" s="19" t="s">
        <v>50</v>
      </c>
      <c r="H78" s="19" t="s">
        <v>107</v>
      </c>
      <c r="I78" s="20">
        <v>45962</v>
      </c>
      <c r="J78" s="17"/>
      <c r="K78" s="19">
        <v>206</v>
      </c>
      <c r="L78" s="21">
        <v>35.479999999999997</v>
      </c>
      <c r="M78" s="21">
        <v>7308.96</v>
      </c>
      <c r="N78" s="19">
        <v>6</v>
      </c>
      <c r="O78" s="19" t="s">
        <v>129</v>
      </c>
      <c r="P78" s="19" t="s">
        <v>94</v>
      </c>
      <c r="Q78" s="19" t="s">
        <v>82</v>
      </c>
      <c r="R78" s="19" t="s">
        <v>77</v>
      </c>
      <c r="S78" s="21">
        <v>219.27</v>
      </c>
    </row>
    <row r="79" spans="1:19" x14ac:dyDescent="0.25">
      <c r="A79" s="22" t="s">
        <v>188</v>
      </c>
      <c r="B79" s="23">
        <v>45828</v>
      </c>
      <c r="C79" s="22" t="s">
        <v>33</v>
      </c>
      <c r="D79" s="24" t="s">
        <v>34</v>
      </c>
      <c r="E79" s="24" t="s">
        <v>31</v>
      </c>
      <c r="F79" s="22" t="s">
        <v>97</v>
      </c>
      <c r="G79" s="24" t="s">
        <v>31</v>
      </c>
      <c r="H79" s="24" t="s">
        <v>74</v>
      </c>
      <c r="I79" s="25">
        <v>45846</v>
      </c>
      <c r="J79" s="25">
        <v>45845</v>
      </c>
      <c r="K79" s="24">
        <v>172</v>
      </c>
      <c r="L79" s="26">
        <v>1121.72</v>
      </c>
      <c r="M79" s="26">
        <v>192935.02</v>
      </c>
      <c r="N79" s="24">
        <v>0</v>
      </c>
      <c r="O79" s="24" t="s">
        <v>81</v>
      </c>
      <c r="P79" s="24" t="s">
        <v>3</v>
      </c>
      <c r="Q79" s="24" t="s">
        <v>82</v>
      </c>
      <c r="R79" s="24" t="s">
        <v>83</v>
      </c>
      <c r="S79" s="26">
        <v>5788.05</v>
      </c>
    </row>
    <row r="80" spans="1:19" x14ac:dyDescent="0.25">
      <c r="A80" s="17" t="s">
        <v>189</v>
      </c>
      <c r="B80" s="18">
        <v>45814</v>
      </c>
      <c r="C80" s="17" t="s">
        <v>47</v>
      </c>
      <c r="D80" s="19" t="s">
        <v>37</v>
      </c>
      <c r="E80" s="19" t="s">
        <v>31</v>
      </c>
      <c r="F80" s="17" t="s">
        <v>79</v>
      </c>
      <c r="G80" s="19" t="s">
        <v>50</v>
      </c>
      <c r="H80" s="19" t="s">
        <v>107</v>
      </c>
      <c r="I80" s="20">
        <v>45828</v>
      </c>
      <c r="J80" s="20">
        <v>45840</v>
      </c>
      <c r="K80" s="19">
        <v>168</v>
      </c>
      <c r="L80" s="21">
        <v>33.520000000000003</v>
      </c>
      <c r="M80" s="21">
        <v>5630.81</v>
      </c>
      <c r="N80" s="19">
        <v>12</v>
      </c>
      <c r="O80" s="19" t="s">
        <v>117</v>
      </c>
      <c r="P80" s="19" t="s">
        <v>3</v>
      </c>
      <c r="Q80" s="19" t="s">
        <v>87</v>
      </c>
      <c r="R80" s="19" t="s">
        <v>98</v>
      </c>
      <c r="S80" s="21">
        <v>168.92</v>
      </c>
    </row>
    <row r="81" spans="1:19" x14ac:dyDescent="0.25">
      <c r="A81" s="22" t="s">
        <v>190</v>
      </c>
      <c r="B81" s="23">
        <v>45846</v>
      </c>
      <c r="C81" s="22" t="s">
        <v>21</v>
      </c>
      <c r="D81" s="24" t="s">
        <v>22</v>
      </c>
      <c r="E81" s="24" t="s">
        <v>23</v>
      </c>
      <c r="F81" s="22" t="s">
        <v>97</v>
      </c>
      <c r="G81" s="24" t="s">
        <v>31</v>
      </c>
      <c r="H81" s="24" t="s">
        <v>74</v>
      </c>
      <c r="I81" s="25">
        <v>45867</v>
      </c>
      <c r="J81" s="25">
        <v>45870</v>
      </c>
      <c r="K81" s="24">
        <v>328</v>
      </c>
      <c r="L81" s="26">
        <v>1133.95</v>
      </c>
      <c r="M81" s="26">
        <v>371937</v>
      </c>
      <c r="N81" s="24">
        <v>3</v>
      </c>
      <c r="O81" s="24" t="s">
        <v>75</v>
      </c>
      <c r="P81" s="24" t="s">
        <v>118</v>
      </c>
      <c r="Q81" s="24" t="s">
        <v>124</v>
      </c>
      <c r="R81" s="24" t="s">
        <v>95</v>
      </c>
      <c r="S81" s="26">
        <v>11158.11</v>
      </c>
    </row>
    <row r="82" spans="1:19" x14ac:dyDescent="0.25">
      <c r="A82" s="17" t="s">
        <v>191</v>
      </c>
      <c r="B82" s="18">
        <v>46082</v>
      </c>
      <c r="C82" s="17" t="s">
        <v>43</v>
      </c>
      <c r="D82" s="19" t="s">
        <v>44</v>
      </c>
      <c r="E82" s="19" t="s">
        <v>45</v>
      </c>
      <c r="F82" s="17" t="s">
        <v>126</v>
      </c>
      <c r="G82" s="19" t="s">
        <v>23</v>
      </c>
      <c r="H82" s="19" t="s">
        <v>80</v>
      </c>
      <c r="I82" s="20">
        <v>46089</v>
      </c>
      <c r="J82" s="17"/>
      <c r="K82" s="19">
        <v>197</v>
      </c>
      <c r="L82" s="21">
        <v>44.95</v>
      </c>
      <c r="M82" s="21">
        <v>8854.42</v>
      </c>
      <c r="N82" s="19">
        <v>6</v>
      </c>
      <c r="O82" s="19" t="s">
        <v>81</v>
      </c>
      <c r="P82" s="19" t="s">
        <v>94</v>
      </c>
      <c r="Q82" s="19" t="s">
        <v>120</v>
      </c>
      <c r="R82" s="19" t="s">
        <v>95</v>
      </c>
      <c r="S82" s="21">
        <v>265.63</v>
      </c>
    </row>
    <row r="83" spans="1:19" x14ac:dyDescent="0.25">
      <c r="A83" s="22" t="s">
        <v>192</v>
      </c>
      <c r="B83" s="23">
        <v>45942</v>
      </c>
      <c r="C83" s="22" t="s">
        <v>49</v>
      </c>
      <c r="D83" s="24" t="s">
        <v>44</v>
      </c>
      <c r="E83" s="24" t="s">
        <v>50</v>
      </c>
      <c r="F83" s="22" t="s">
        <v>142</v>
      </c>
      <c r="G83" s="24" t="s">
        <v>41</v>
      </c>
      <c r="H83" s="24" t="s">
        <v>107</v>
      </c>
      <c r="I83" s="25">
        <v>45947</v>
      </c>
      <c r="J83" s="22"/>
      <c r="K83" s="24">
        <v>70</v>
      </c>
      <c r="L83" s="26">
        <v>84.07</v>
      </c>
      <c r="M83" s="26">
        <v>5885.25</v>
      </c>
      <c r="N83" s="24">
        <v>0</v>
      </c>
      <c r="O83" s="24" t="s">
        <v>81</v>
      </c>
      <c r="P83" s="24" t="s">
        <v>94</v>
      </c>
      <c r="Q83" s="24" t="s">
        <v>87</v>
      </c>
      <c r="R83" s="24" t="s">
        <v>95</v>
      </c>
      <c r="S83" s="26">
        <v>176.56</v>
      </c>
    </row>
    <row r="84" spans="1:19" x14ac:dyDescent="0.25">
      <c r="A84" s="17" t="s">
        <v>193</v>
      </c>
      <c r="B84" s="18">
        <v>45821</v>
      </c>
      <c r="C84" s="17" t="s">
        <v>47</v>
      </c>
      <c r="D84" s="19" t="s">
        <v>37</v>
      </c>
      <c r="E84" s="19" t="s">
        <v>31</v>
      </c>
      <c r="F84" s="17" t="s">
        <v>126</v>
      </c>
      <c r="G84" s="19" t="s">
        <v>23</v>
      </c>
      <c r="H84" s="19" t="s">
        <v>85</v>
      </c>
      <c r="I84" s="20">
        <v>45835</v>
      </c>
      <c r="J84" s="20">
        <v>45832</v>
      </c>
      <c r="K84" s="19">
        <v>470</v>
      </c>
      <c r="L84" s="21">
        <v>43.4</v>
      </c>
      <c r="M84" s="21">
        <v>20399.2</v>
      </c>
      <c r="N84" s="19">
        <v>0</v>
      </c>
      <c r="O84" s="19" t="s">
        <v>81</v>
      </c>
      <c r="P84" s="19" t="s">
        <v>115</v>
      </c>
      <c r="Q84" s="19" t="s">
        <v>82</v>
      </c>
      <c r="R84" s="19" t="s">
        <v>83</v>
      </c>
      <c r="S84" s="21">
        <v>611.98</v>
      </c>
    </row>
    <row r="85" spans="1:19" x14ac:dyDescent="0.25">
      <c r="A85" s="22" t="s">
        <v>194</v>
      </c>
      <c r="B85" s="23">
        <v>46024</v>
      </c>
      <c r="C85" s="22" t="s">
        <v>36</v>
      </c>
      <c r="D85" s="24" t="s">
        <v>37</v>
      </c>
      <c r="E85" s="24" t="s">
        <v>23</v>
      </c>
      <c r="F85" s="22" t="s">
        <v>93</v>
      </c>
      <c r="G85" s="24" t="s">
        <v>31</v>
      </c>
      <c r="H85" s="24" t="s">
        <v>107</v>
      </c>
      <c r="I85" s="25">
        <v>46044</v>
      </c>
      <c r="J85" s="22"/>
      <c r="K85" s="24">
        <v>375</v>
      </c>
      <c r="L85" s="26">
        <v>2550.84</v>
      </c>
      <c r="M85" s="26">
        <v>956564.09</v>
      </c>
      <c r="N85" s="24">
        <v>2</v>
      </c>
      <c r="O85" s="24" t="s">
        <v>129</v>
      </c>
      <c r="P85" s="24" t="s">
        <v>94</v>
      </c>
      <c r="Q85" s="24" t="s">
        <v>82</v>
      </c>
      <c r="R85" s="24" t="s">
        <v>98</v>
      </c>
      <c r="S85" s="26">
        <v>28696.92</v>
      </c>
    </row>
    <row r="86" spans="1:19" x14ac:dyDescent="0.25">
      <c r="A86" s="17" t="s">
        <v>195</v>
      </c>
      <c r="B86" s="18">
        <v>46002</v>
      </c>
      <c r="C86" s="17" t="s">
        <v>52</v>
      </c>
      <c r="D86" s="19" t="s">
        <v>53</v>
      </c>
      <c r="E86" s="19" t="s">
        <v>54</v>
      </c>
      <c r="F86" s="17" t="s">
        <v>79</v>
      </c>
      <c r="G86" s="19" t="s">
        <v>50</v>
      </c>
      <c r="H86" s="19" t="s">
        <v>101</v>
      </c>
      <c r="I86" s="20">
        <v>46027</v>
      </c>
      <c r="J86" s="20">
        <v>46027</v>
      </c>
      <c r="K86" s="19">
        <v>218</v>
      </c>
      <c r="L86" s="21">
        <v>34.380000000000003</v>
      </c>
      <c r="M86" s="21">
        <v>7495.17</v>
      </c>
      <c r="N86" s="19">
        <v>0</v>
      </c>
      <c r="O86" s="19" t="s">
        <v>81</v>
      </c>
      <c r="P86" s="19" t="s">
        <v>3</v>
      </c>
      <c r="Q86" s="19" t="s">
        <v>120</v>
      </c>
      <c r="R86" s="19" t="s">
        <v>95</v>
      </c>
      <c r="S86" s="21">
        <v>224.86</v>
      </c>
    </row>
    <row r="87" spans="1:19" x14ac:dyDescent="0.25">
      <c r="A87" s="22" t="s">
        <v>196</v>
      </c>
      <c r="B87" s="23">
        <v>45934</v>
      </c>
      <c r="C87" s="22" t="s">
        <v>49</v>
      </c>
      <c r="D87" s="24" t="s">
        <v>44</v>
      </c>
      <c r="E87" s="24" t="s">
        <v>50</v>
      </c>
      <c r="F87" s="22" t="s">
        <v>93</v>
      </c>
      <c r="G87" s="24" t="s">
        <v>31</v>
      </c>
      <c r="H87" s="24" t="s">
        <v>80</v>
      </c>
      <c r="I87" s="25">
        <v>45939</v>
      </c>
      <c r="J87" s="25">
        <v>45938</v>
      </c>
      <c r="K87" s="24">
        <v>179</v>
      </c>
      <c r="L87" s="26">
        <v>2315.17</v>
      </c>
      <c r="M87" s="26">
        <v>414415.68</v>
      </c>
      <c r="N87" s="24">
        <v>0</v>
      </c>
      <c r="O87" s="24" t="s">
        <v>81</v>
      </c>
      <c r="P87" s="24" t="s">
        <v>3</v>
      </c>
      <c r="Q87" s="24" t="s">
        <v>120</v>
      </c>
      <c r="R87" s="24" t="s">
        <v>77</v>
      </c>
      <c r="S87" s="26">
        <v>12432.47</v>
      </c>
    </row>
    <row r="88" spans="1:19" x14ac:dyDescent="0.25">
      <c r="A88" s="17" t="s">
        <v>197</v>
      </c>
      <c r="B88" s="18">
        <v>46139</v>
      </c>
      <c r="C88" s="17" t="s">
        <v>29</v>
      </c>
      <c r="D88" s="19" t="s">
        <v>30</v>
      </c>
      <c r="E88" s="19" t="s">
        <v>31</v>
      </c>
      <c r="F88" s="17" t="s">
        <v>100</v>
      </c>
      <c r="G88" s="19" t="s">
        <v>23</v>
      </c>
      <c r="H88" s="19" t="s">
        <v>122</v>
      </c>
      <c r="I88" s="20">
        <v>46161</v>
      </c>
      <c r="J88" s="17"/>
      <c r="K88" s="19">
        <v>368</v>
      </c>
      <c r="L88" s="21">
        <v>65.180000000000007</v>
      </c>
      <c r="M88" s="21">
        <v>23986.2</v>
      </c>
      <c r="N88" s="19">
        <v>3</v>
      </c>
      <c r="O88" s="19" t="s">
        <v>91</v>
      </c>
      <c r="P88" s="19" t="s">
        <v>94</v>
      </c>
      <c r="Q88" s="19" t="s">
        <v>120</v>
      </c>
      <c r="R88" s="19" t="s">
        <v>77</v>
      </c>
      <c r="S88" s="21">
        <v>719.59</v>
      </c>
    </row>
    <row r="89" spans="1:19" x14ac:dyDescent="0.25">
      <c r="A89" s="22" t="s">
        <v>198</v>
      </c>
      <c r="B89" s="23">
        <v>46019</v>
      </c>
      <c r="C89" s="22" t="s">
        <v>33</v>
      </c>
      <c r="D89" s="24" t="s">
        <v>34</v>
      </c>
      <c r="E89" s="24" t="s">
        <v>31</v>
      </c>
      <c r="F89" s="22" t="s">
        <v>142</v>
      </c>
      <c r="G89" s="24" t="s">
        <v>41</v>
      </c>
      <c r="H89" s="24" t="s">
        <v>104</v>
      </c>
      <c r="I89" s="25">
        <v>46037</v>
      </c>
      <c r="J89" s="25">
        <v>46048</v>
      </c>
      <c r="K89" s="24">
        <v>112</v>
      </c>
      <c r="L89" s="26">
        <v>70.650000000000006</v>
      </c>
      <c r="M89" s="26">
        <v>7912.84</v>
      </c>
      <c r="N89" s="24">
        <v>11</v>
      </c>
      <c r="O89" s="24" t="s">
        <v>109</v>
      </c>
      <c r="P89" s="24" t="s">
        <v>115</v>
      </c>
      <c r="Q89" s="24" t="s">
        <v>76</v>
      </c>
      <c r="R89" s="24" t="s">
        <v>83</v>
      </c>
      <c r="S89" s="26">
        <v>237.39</v>
      </c>
    </row>
    <row r="90" spans="1:19" x14ac:dyDescent="0.25">
      <c r="A90" s="17" t="s">
        <v>199</v>
      </c>
      <c r="B90" s="18">
        <v>45884</v>
      </c>
      <c r="C90" s="17" t="s">
        <v>43</v>
      </c>
      <c r="D90" s="19" t="s">
        <v>44</v>
      </c>
      <c r="E90" s="19" t="s">
        <v>45</v>
      </c>
      <c r="F90" s="17" t="s">
        <v>142</v>
      </c>
      <c r="G90" s="19" t="s">
        <v>41</v>
      </c>
      <c r="H90" s="19" t="s">
        <v>80</v>
      </c>
      <c r="I90" s="20">
        <v>45891</v>
      </c>
      <c r="J90" s="20">
        <v>45901</v>
      </c>
      <c r="K90" s="19">
        <v>480</v>
      </c>
      <c r="L90" s="21">
        <v>84.44</v>
      </c>
      <c r="M90" s="21">
        <v>40532.019999999997</v>
      </c>
      <c r="N90" s="19">
        <v>10</v>
      </c>
      <c r="O90" s="19" t="s">
        <v>102</v>
      </c>
      <c r="P90" s="19" t="s">
        <v>3</v>
      </c>
      <c r="Q90" s="19" t="s">
        <v>120</v>
      </c>
      <c r="R90" s="19" t="s">
        <v>77</v>
      </c>
      <c r="S90" s="21">
        <v>1215.96</v>
      </c>
    </row>
    <row r="91" spans="1:19" x14ac:dyDescent="0.25">
      <c r="A91" s="22" t="s">
        <v>200</v>
      </c>
      <c r="B91" s="23">
        <v>45906</v>
      </c>
      <c r="C91" s="22" t="s">
        <v>43</v>
      </c>
      <c r="D91" s="24" t="s">
        <v>44</v>
      </c>
      <c r="E91" s="24" t="s">
        <v>45</v>
      </c>
      <c r="F91" s="22" t="s">
        <v>100</v>
      </c>
      <c r="G91" s="24" t="s">
        <v>23</v>
      </c>
      <c r="H91" s="24" t="s">
        <v>74</v>
      </c>
      <c r="I91" s="25">
        <v>45913</v>
      </c>
      <c r="J91" s="25">
        <v>45918</v>
      </c>
      <c r="K91" s="24">
        <v>291</v>
      </c>
      <c r="L91" s="26">
        <v>58.82</v>
      </c>
      <c r="M91" s="26">
        <v>17117.28</v>
      </c>
      <c r="N91" s="24">
        <v>5</v>
      </c>
      <c r="O91" s="24" t="s">
        <v>109</v>
      </c>
      <c r="P91" s="24" t="s">
        <v>118</v>
      </c>
      <c r="Q91" s="24" t="s">
        <v>76</v>
      </c>
      <c r="R91" s="24" t="s">
        <v>83</v>
      </c>
      <c r="S91" s="26">
        <v>513.52</v>
      </c>
    </row>
    <row r="92" spans="1:19" x14ac:dyDescent="0.25">
      <c r="A92" s="17" t="s">
        <v>201</v>
      </c>
      <c r="B92" s="18">
        <v>46131</v>
      </c>
      <c r="C92" s="17" t="s">
        <v>49</v>
      </c>
      <c r="D92" s="19" t="s">
        <v>44</v>
      </c>
      <c r="E92" s="19" t="s">
        <v>50</v>
      </c>
      <c r="F92" s="17" t="s">
        <v>97</v>
      </c>
      <c r="G92" s="19" t="s">
        <v>31</v>
      </c>
      <c r="H92" s="19" t="s">
        <v>104</v>
      </c>
      <c r="I92" s="20">
        <v>46136</v>
      </c>
      <c r="J92" s="20">
        <v>46141</v>
      </c>
      <c r="K92" s="19">
        <v>453</v>
      </c>
      <c r="L92" s="21">
        <v>1201.8599999999999</v>
      </c>
      <c r="M92" s="21">
        <v>544441.24</v>
      </c>
      <c r="N92" s="19">
        <v>5</v>
      </c>
      <c r="O92" s="19" t="s">
        <v>91</v>
      </c>
      <c r="P92" s="19" t="s">
        <v>118</v>
      </c>
      <c r="Q92" s="19" t="s">
        <v>82</v>
      </c>
      <c r="R92" s="19" t="s">
        <v>95</v>
      </c>
      <c r="S92" s="21">
        <v>16333.24</v>
      </c>
    </row>
    <row r="93" spans="1:19" x14ac:dyDescent="0.25">
      <c r="A93" s="22" t="s">
        <v>202</v>
      </c>
      <c r="B93" s="23">
        <v>46090</v>
      </c>
      <c r="C93" s="22" t="s">
        <v>39</v>
      </c>
      <c r="D93" s="24" t="s">
        <v>40</v>
      </c>
      <c r="E93" s="24" t="s">
        <v>41</v>
      </c>
      <c r="F93" s="22" t="s">
        <v>136</v>
      </c>
      <c r="G93" s="24" t="s">
        <v>23</v>
      </c>
      <c r="H93" s="24" t="s">
        <v>107</v>
      </c>
      <c r="I93" s="25">
        <v>46100</v>
      </c>
      <c r="J93" s="22"/>
      <c r="K93" s="24">
        <v>226</v>
      </c>
      <c r="L93" s="26">
        <v>91.82</v>
      </c>
      <c r="M93" s="26">
        <v>20750.5</v>
      </c>
      <c r="N93" s="24">
        <v>11</v>
      </c>
      <c r="O93" s="24" t="s">
        <v>109</v>
      </c>
      <c r="P93" s="24" t="s">
        <v>94</v>
      </c>
      <c r="Q93" s="24" t="s">
        <v>76</v>
      </c>
      <c r="R93" s="24" t="s">
        <v>98</v>
      </c>
      <c r="S93" s="26">
        <v>622.51</v>
      </c>
    </row>
    <row r="94" spans="1:19" x14ac:dyDescent="0.25">
      <c r="A94" s="17" t="s">
        <v>203</v>
      </c>
      <c r="B94" s="18">
        <v>45809</v>
      </c>
      <c r="C94" s="17" t="s">
        <v>36</v>
      </c>
      <c r="D94" s="19" t="s">
        <v>37</v>
      </c>
      <c r="E94" s="19" t="s">
        <v>23</v>
      </c>
      <c r="F94" s="17" t="s">
        <v>89</v>
      </c>
      <c r="G94" s="19" t="s">
        <v>54</v>
      </c>
      <c r="H94" s="19" t="s">
        <v>85</v>
      </c>
      <c r="I94" s="20">
        <v>45829</v>
      </c>
      <c r="J94" s="17"/>
      <c r="K94" s="19">
        <v>169</v>
      </c>
      <c r="L94" s="21">
        <v>235.66</v>
      </c>
      <c r="M94" s="21">
        <v>39827.31</v>
      </c>
      <c r="N94" s="19">
        <v>4</v>
      </c>
      <c r="O94" s="19" t="s">
        <v>129</v>
      </c>
      <c r="P94" s="19" t="s">
        <v>94</v>
      </c>
      <c r="Q94" s="19" t="s">
        <v>120</v>
      </c>
      <c r="R94" s="19" t="s">
        <v>77</v>
      </c>
      <c r="S94" s="21">
        <v>1194.82</v>
      </c>
    </row>
    <row r="95" spans="1:19" x14ac:dyDescent="0.25">
      <c r="A95" s="22" t="s">
        <v>204</v>
      </c>
      <c r="B95" s="23">
        <v>45969</v>
      </c>
      <c r="C95" s="22" t="s">
        <v>52</v>
      </c>
      <c r="D95" s="24" t="s">
        <v>53</v>
      </c>
      <c r="E95" s="24" t="s">
        <v>54</v>
      </c>
      <c r="F95" s="22" t="s">
        <v>100</v>
      </c>
      <c r="G95" s="24" t="s">
        <v>23</v>
      </c>
      <c r="H95" s="24" t="s">
        <v>122</v>
      </c>
      <c r="I95" s="25">
        <v>45994</v>
      </c>
      <c r="J95" s="25">
        <v>45995</v>
      </c>
      <c r="K95" s="24">
        <v>114</v>
      </c>
      <c r="L95" s="26">
        <v>62.03</v>
      </c>
      <c r="M95" s="26">
        <v>7071.24</v>
      </c>
      <c r="N95" s="24">
        <v>1</v>
      </c>
      <c r="O95" s="24" t="s">
        <v>117</v>
      </c>
      <c r="P95" s="24" t="s">
        <v>118</v>
      </c>
      <c r="Q95" s="24" t="s">
        <v>76</v>
      </c>
      <c r="R95" s="24" t="s">
        <v>95</v>
      </c>
      <c r="S95" s="26">
        <v>212.14</v>
      </c>
    </row>
    <row r="96" spans="1:19" x14ac:dyDescent="0.25">
      <c r="A96" s="17" t="s">
        <v>205</v>
      </c>
      <c r="B96" s="18">
        <v>45897</v>
      </c>
      <c r="C96" s="17" t="s">
        <v>21</v>
      </c>
      <c r="D96" s="19" t="s">
        <v>22</v>
      </c>
      <c r="E96" s="19" t="s">
        <v>23</v>
      </c>
      <c r="F96" s="17" t="s">
        <v>100</v>
      </c>
      <c r="G96" s="19" t="s">
        <v>23</v>
      </c>
      <c r="H96" s="19" t="s">
        <v>90</v>
      </c>
      <c r="I96" s="20">
        <v>45918</v>
      </c>
      <c r="J96" s="20">
        <v>45929</v>
      </c>
      <c r="K96" s="19">
        <v>259</v>
      </c>
      <c r="L96" s="21">
        <v>66.599999999999994</v>
      </c>
      <c r="M96" s="21">
        <v>17249.29</v>
      </c>
      <c r="N96" s="19">
        <v>11</v>
      </c>
      <c r="O96" s="19" t="s">
        <v>86</v>
      </c>
      <c r="P96" s="19" t="s">
        <v>3</v>
      </c>
      <c r="Q96" s="19" t="s">
        <v>124</v>
      </c>
      <c r="R96" s="19" t="s">
        <v>77</v>
      </c>
      <c r="S96" s="21">
        <v>517.48</v>
      </c>
    </row>
    <row r="97" spans="1:19" x14ac:dyDescent="0.25">
      <c r="A97" s="22" t="s">
        <v>206</v>
      </c>
      <c r="B97" s="23">
        <v>45847</v>
      </c>
      <c r="C97" s="22" t="s">
        <v>36</v>
      </c>
      <c r="D97" s="24" t="s">
        <v>37</v>
      </c>
      <c r="E97" s="24" t="s">
        <v>23</v>
      </c>
      <c r="F97" s="22" t="s">
        <v>142</v>
      </c>
      <c r="G97" s="24" t="s">
        <v>41</v>
      </c>
      <c r="H97" s="24" t="s">
        <v>101</v>
      </c>
      <c r="I97" s="25">
        <v>45867</v>
      </c>
      <c r="J97" s="25">
        <v>45876</v>
      </c>
      <c r="K97" s="24">
        <v>486</v>
      </c>
      <c r="L97" s="26">
        <v>75.33</v>
      </c>
      <c r="M97" s="26">
        <v>36608.25</v>
      </c>
      <c r="N97" s="24">
        <v>9</v>
      </c>
      <c r="O97" s="24" t="s">
        <v>75</v>
      </c>
      <c r="P97" s="24" t="s">
        <v>115</v>
      </c>
      <c r="Q97" s="24" t="s">
        <v>76</v>
      </c>
      <c r="R97" s="24" t="s">
        <v>98</v>
      </c>
      <c r="S97" s="26">
        <v>1098.25</v>
      </c>
    </row>
    <row r="98" spans="1:19" x14ac:dyDescent="0.25">
      <c r="A98" s="17" t="s">
        <v>207</v>
      </c>
      <c r="B98" s="18">
        <v>45850</v>
      </c>
      <c r="C98" s="17" t="s">
        <v>52</v>
      </c>
      <c r="D98" s="19" t="s">
        <v>53</v>
      </c>
      <c r="E98" s="19" t="s">
        <v>54</v>
      </c>
      <c r="F98" s="17" t="s">
        <v>100</v>
      </c>
      <c r="G98" s="19" t="s">
        <v>23</v>
      </c>
      <c r="H98" s="19" t="s">
        <v>80</v>
      </c>
      <c r="I98" s="20">
        <v>45875</v>
      </c>
      <c r="J98" s="20">
        <v>45874</v>
      </c>
      <c r="K98" s="19">
        <v>373</v>
      </c>
      <c r="L98" s="21">
        <v>64.290000000000006</v>
      </c>
      <c r="M98" s="21">
        <v>23978.880000000001</v>
      </c>
      <c r="N98" s="19">
        <v>0</v>
      </c>
      <c r="O98" s="19" t="s">
        <v>81</v>
      </c>
      <c r="P98" s="19" t="s">
        <v>3</v>
      </c>
      <c r="Q98" s="19" t="s">
        <v>87</v>
      </c>
      <c r="R98" s="19" t="s">
        <v>83</v>
      </c>
      <c r="S98" s="21">
        <v>719.37</v>
      </c>
    </row>
    <row r="99" spans="1:19" x14ac:dyDescent="0.25">
      <c r="A99" s="22" t="s">
        <v>208</v>
      </c>
      <c r="B99" s="23">
        <v>45842</v>
      </c>
      <c r="C99" s="22" t="s">
        <v>21</v>
      </c>
      <c r="D99" s="24" t="s">
        <v>22</v>
      </c>
      <c r="E99" s="24" t="s">
        <v>23</v>
      </c>
      <c r="F99" s="22" t="s">
        <v>79</v>
      </c>
      <c r="G99" s="24" t="s">
        <v>50</v>
      </c>
      <c r="H99" s="24" t="s">
        <v>90</v>
      </c>
      <c r="I99" s="25">
        <v>45863</v>
      </c>
      <c r="J99" s="25">
        <v>45863</v>
      </c>
      <c r="K99" s="24">
        <v>135</v>
      </c>
      <c r="L99" s="26">
        <v>36.36</v>
      </c>
      <c r="M99" s="26">
        <v>4908.33</v>
      </c>
      <c r="N99" s="24">
        <v>0</v>
      </c>
      <c r="O99" s="24" t="s">
        <v>81</v>
      </c>
      <c r="P99" s="24" t="s">
        <v>118</v>
      </c>
      <c r="Q99" s="24" t="s">
        <v>82</v>
      </c>
      <c r="R99" s="24" t="s">
        <v>77</v>
      </c>
      <c r="S99" s="26">
        <v>147.25</v>
      </c>
    </row>
    <row r="100" spans="1:19" x14ac:dyDescent="0.25">
      <c r="A100" s="17" t="s">
        <v>209</v>
      </c>
      <c r="B100" s="18">
        <v>45983</v>
      </c>
      <c r="C100" s="17" t="s">
        <v>52</v>
      </c>
      <c r="D100" s="19" t="s">
        <v>53</v>
      </c>
      <c r="E100" s="19" t="s">
        <v>54</v>
      </c>
      <c r="F100" s="17" t="s">
        <v>73</v>
      </c>
      <c r="G100" s="19" t="s">
        <v>31</v>
      </c>
      <c r="H100" s="19" t="s">
        <v>74</v>
      </c>
      <c r="I100" s="20">
        <v>46008</v>
      </c>
      <c r="J100" s="20">
        <v>46016</v>
      </c>
      <c r="K100" s="19">
        <v>175</v>
      </c>
      <c r="L100" s="21">
        <v>855.3</v>
      </c>
      <c r="M100" s="21">
        <v>149677.20000000001</v>
      </c>
      <c r="N100" s="19">
        <v>8</v>
      </c>
      <c r="O100" s="19" t="s">
        <v>86</v>
      </c>
      <c r="P100" s="19" t="s">
        <v>118</v>
      </c>
      <c r="Q100" s="19" t="s">
        <v>76</v>
      </c>
      <c r="R100" s="19" t="s">
        <v>83</v>
      </c>
      <c r="S100" s="21">
        <v>4490.32</v>
      </c>
    </row>
    <row r="101" spans="1:19" x14ac:dyDescent="0.25">
      <c r="A101" s="22" t="s">
        <v>210</v>
      </c>
      <c r="B101" s="23">
        <v>45854</v>
      </c>
      <c r="C101" s="22" t="s">
        <v>43</v>
      </c>
      <c r="D101" s="24" t="s">
        <v>44</v>
      </c>
      <c r="E101" s="24" t="s">
        <v>45</v>
      </c>
      <c r="F101" s="22" t="s">
        <v>114</v>
      </c>
      <c r="G101" s="24" t="s">
        <v>45</v>
      </c>
      <c r="H101" s="24" t="s">
        <v>90</v>
      </c>
      <c r="I101" s="25">
        <v>45861</v>
      </c>
      <c r="J101" s="22"/>
      <c r="K101" s="24">
        <v>173</v>
      </c>
      <c r="L101" s="26">
        <v>11.99</v>
      </c>
      <c r="M101" s="26">
        <v>2075.0300000000002</v>
      </c>
      <c r="N101" s="24">
        <v>9</v>
      </c>
      <c r="O101" s="24" t="s">
        <v>81</v>
      </c>
      <c r="P101" s="24" t="s">
        <v>94</v>
      </c>
      <c r="Q101" s="24" t="s">
        <v>76</v>
      </c>
      <c r="R101" s="24" t="s">
        <v>83</v>
      </c>
      <c r="S101" s="26">
        <v>62.25</v>
      </c>
    </row>
  </sheetData>
  <autoFilter ref="A1:S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selection activeCell="C20" sqref="C20"/>
    </sheetView>
  </sheetViews>
  <sheetFormatPr defaultColWidth="24" defaultRowHeight="15" x14ac:dyDescent="0.25"/>
  <sheetData>
    <row r="1" spans="1:8" ht="30" customHeight="1" x14ac:dyDescent="0.25">
      <c r="A1" s="33" t="s">
        <v>211</v>
      </c>
      <c r="B1" s="30"/>
      <c r="C1" s="30"/>
      <c r="D1" s="30"/>
      <c r="E1" s="30"/>
      <c r="F1" s="30"/>
      <c r="G1" s="30"/>
      <c r="H1" s="30"/>
    </row>
    <row r="2" spans="1:8" x14ac:dyDescent="0.25">
      <c r="A2" s="16" t="s">
        <v>15</v>
      </c>
      <c r="B2" s="16" t="s">
        <v>16</v>
      </c>
      <c r="C2" s="16" t="s">
        <v>17</v>
      </c>
      <c r="D2" s="16" t="s">
        <v>2</v>
      </c>
      <c r="E2" s="16" t="s">
        <v>13</v>
      </c>
      <c r="F2" s="16" t="s">
        <v>4</v>
      </c>
      <c r="G2" s="16" t="s">
        <v>7</v>
      </c>
      <c r="H2" s="16" t="s">
        <v>212</v>
      </c>
    </row>
    <row r="3" spans="1:8" x14ac:dyDescent="0.25">
      <c r="A3" s="15" t="s">
        <v>21</v>
      </c>
      <c r="B3" s="15" t="s">
        <v>22</v>
      </c>
      <c r="C3" s="15" t="s">
        <v>23</v>
      </c>
      <c r="D3" s="14">
        <v>8</v>
      </c>
      <c r="E3" s="14">
        <v>7</v>
      </c>
      <c r="F3" s="27">
        <v>0.125</v>
      </c>
      <c r="G3" s="14">
        <v>7.6</v>
      </c>
      <c r="H3" s="14" t="s">
        <v>213</v>
      </c>
    </row>
    <row r="4" spans="1:8" x14ac:dyDescent="0.25">
      <c r="A4" s="13" t="s">
        <v>26</v>
      </c>
      <c r="B4" s="13" t="s">
        <v>27</v>
      </c>
      <c r="C4" s="13" t="s">
        <v>23</v>
      </c>
      <c r="D4" s="12">
        <v>9</v>
      </c>
      <c r="E4" s="12">
        <v>6</v>
      </c>
      <c r="F4" s="27">
        <v>0.125</v>
      </c>
      <c r="G4" s="12">
        <v>5.3</v>
      </c>
      <c r="H4" s="12" t="s">
        <v>213</v>
      </c>
    </row>
    <row r="5" spans="1:8" x14ac:dyDescent="0.25">
      <c r="A5" s="15" t="s">
        <v>29</v>
      </c>
      <c r="B5" s="15" t="s">
        <v>30</v>
      </c>
      <c r="C5" s="15" t="s">
        <v>31</v>
      </c>
      <c r="D5" s="14">
        <v>13</v>
      </c>
      <c r="E5" s="14">
        <v>13</v>
      </c>
      <c r="F5" s="27">
        <v>0.125</v>
      </c>
      <c r="G5" s="14">
        <v>5.8</v>
      </c>
      <c r="H5" s="14" t="s">
        <v>213</v>
      </c>
    </row>
    <row r="6" spans="1:8" x14ac:dyDescent="0.25">
      <c r="A6" s="13" t="s">
        <v>33</v>
      </c>
      <c r="B6" s="13" t="s">
        <v>34</v>
      </c>
      <c r="C6" s="13" t="s">
        <v>31</v>
      </c>
      <c r="D6" s="12">
        <v>10</v>
      </c>
      <c r="E6" s="12">
        <v>7</v>
      </c>
      <c r="F6" s="27">
        <v>0.125</v>
      </c>
      <c r="G6" s="12">
        <v>9.4</v>
      </c>
      <c r="H6" s="12" t="s">
        <v>213</v>
      </c>
    </row>
    <row r="7" spans="1:8" x14ac:dyDescent="0.25">
      <c r="A7" s="15" t="s">
        <v>36</v>
      </c>
      <c r="B7" s="15" t="s">
        <v>37</v>
      </c>
      <c r="C7" s="15" t="s">
        <v>23</v>
      </c>
      <c r="D7" s="14">
        <v>14</v>
      </c>
      <c r="E7" s="14">
        <v>12</v>
      </c>
      <c r="F7" s="27">
        <v>0.125</v>
      </c>
      <c r="G7" s="14">
        <v>8.1999999999999993</v>
      </c>
      <c r="H7" s="14" t="s">
        <v>213</v>
      </c>
    </row>
    <row r="8" spans="1:8" x14ac:dyDescent="0.25">
      <c r="A8" s="13" t="s">
        <v>39</v>
      </c>
      <c r="B8" s="13" t="s">
        <v>40</v>
      </c>
      <c r="C8" s="13" t="s">
        <v>41</v>
      </c>
      <c r="D8" s="12">
        <v>9</v>
      </c>
      <c r="E8" s="12">
        <v>7</v>
      </c>
      <c r="F8" s="27">
        <v>0.125</v>
      </c>
      <c r="G8" s="12">
        <v>8.3000000000000007</v>
      </c>
      <c r="H8" s="12" t="s">
        <v>213</v>
      </c>
    </row>
    <row r="9" spans="1:8" x14ac:dyDescent="0.25">
      <c r="A9" s="15" t="s">
        <v>43</v>
      </c>
      <c r="B9" s="15" t="s">
        <v>44</v>
      </c>
      <c r="C9" s="15" t="s">
        <v>45</v>
      </c>
      <c r="D9" s="14">
        <v>9</v>
      </c>
      <c r="E9" s="14">
        <v>8</v>
      </c>
      <c r="F9" s="27">
        <v>0.125</v>
      </c>
      <c r="G9" s="14">
        <v>6.8</v>
      </c>
      <c r="H9" s="14" t="s">
        <v>213</v>
      </c>
    </row>
    <row r="10" spans="1:8" x14ac:dyDescent="0.25">
      <c r="A10" s="13" t="s">
        <v>47</v>
      </c>
      <c r="B10" s="13" t="s">
        <v>37</v>
      </c>
      <c r="C10" s="13" t="s">
        <v>31</v>
      </c>
      <c r="D10" s="12">
        <v>9</v>
      </c>
      <c r="E10" s="12">
        <v>6</v>
      </c>
      <c r="F10" s="27">
        <v>0.125</v>
      </c>
      <c r="G10" s="12">
        <v>9.3000000000000007</v>
      </c>
      <c r="H10" s="12" t="s">
        <v>213</v>
      </c>
    </row>
    <row r="11" spans="1:8" x14ac:dyDescent="0.25">
      <c r="A11" s="15" t="s">
        <v>49</v>
      </c>
      <c r="B11" s="15" t="s">
        <v>44</v>
      </c>
      <c r="C11" s="15" t="s">
        <v>50</v>
      </c>
      <c r="D11" s="14">
        <v>12</v>
      </c>
      <c r="E11" s="14">
        <v>9</v>
      </c>
      <c r="F11" s="27">
        <v>0.125</v>
      </c>
      <c r="G11" s="14">
        <v>7.1</v>
      </c>
      <c r="H11" s="14" t="s">
        <v>213</v>
      </c>
    </row>
    <row r="12" spans="1:8" x14ac:dyDescent="0.25">
      <c r="A12" s="13" t="s">
        <v>52</v>
      </c>
      <c r="B12" s="13" t="s">
        <v>53</v>
      </c>
      <c r="C12" s="13" t="s">
        <v>54</v>
      </c>
      <c r="D12" s="12">
        <v>7</v>
      </c>
      <c r="E12" s="12">
        <v>5</v>
      </c>
      <c r="F12" s="27">
        <v>0.125</v>
      </c>
      <c r="G12" s="12">
        <v>8.1999999999999993</v>
      </c>
      <c r="H12" s="12" t="s">
        <v>213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selection activeCell="C15" sqref="C15"/>
    </sheetView>
  </sheetViews>
  <sheetFormatPr defaultColWidth="27.85546875" defaultRowHeight="15" x14ac:dyDescent="0.25"/>
  <sheetData>
    <row r="1" spans="1:6" ht="30" customHeight="1" x14ac:dyDescent="0.25">
      <c r="A1" s="33" t="s">
        <v>214</v>
      </c>
      <c r="B1" s="30"/>
      <c r="C1" s="30"/>
      <c r="D1" s="30"/>
      <c r="E1" s="30"/>
      <c r="F1" s="30"/>
    </row>
    <row r="2" spans="1:6" x14ac:dyDescent="0.25">
      <c r="A2" s="16" t="s">
        <v>68</v>
      </c>
      <c r="B2" s="16" t="s">
        <v>215</v>
      </c>
      <c r="C2" s="16" t="s">
        <v>216</v>
      </c>
      <c r="D2" s="16" t="s">
        <v>7</v>
      </c>
      <c r="E2" s="16" t="s">
        <v>217</v>
      </c>
      <c r="F2" s="16" t="s">
        <v>218</v>
      </c>
    </row>
    <row r="3" spans="1:6" x14ac:dyDescent="0.25">
      <c r="A3" s="15" t="s">
        <v>117</v>
      </c>
      <c r="B3" s="14">
        <v>9</v>
      </c>
      <c r="C3" s="27">
        <v>0.09</v>
      </c>
      <c r="D3" s="14">
        <v>5.7</v>
      </c>
      <c r="E3" s="14">
        <v>2187265.2799999998</v>
      </c>
      <c r="F3" s="27">
        <v>0.16400000000000001</v>
      </c>
    </row>
    <row r="4" spans="1:6" x14ac:dyDescent="0.25">
      <c r="A4" s="13" t="s">
        <v>129</v>
      </c>
      <c r="B4" s="12">
        <v>10</v>
      </c>
      <c r="C4" s="27">
        <v>0.09</v>
      </c>
      <c r="D4" s="12">
        <v>6.9</v>
      </c>
      <c r="E4" s="12">
        <v>2004222.83</v>
      </c>
      <c r="F4" s="27">
        <v>0.16400000000000001</v>
      </c>
    </row>
    <row r="5" spans="1:6" x14ac:dyDescent="0.25">
      <c r="A5" s="15" t="s">
        <v>102</v>
      </c>
      <c r="B5" s="14">
        <v>9</v>
      </c>
      <c r="C5" s="27">
        <v>0.09</v>
      </c>
      <c r="D5" s="14">
        <v>7.6</v>
      </c>
      <c r="E5" s="14">
        <v>1943263.85</v>
      </c>
      <c r="F5" s="27">
        <v>0.16400000000000001</v>
      </c>
    </row>
    <row r="6" spans="1:6" x14ac:dyDescent="0.25">
      <c r="A6" s="13" t="s">
        <v>91</v>
      </c>
      <c r="B6" s="12">
        <v>10</v>
      </c>
      <c r="C6" s="27">
        <v>0.09</v>
      </c>
      <c r="D6" s="12">
        <v>6.8</v>
      </c>
      <c r="E6" s="12">
        <v>1725009.77</v>
      </c>
      <c r="F6" s="27">
        <v>0.16400000000000001</v>
      </c>
    </row>
    <row r="7" spans="1:6" x14ac:dyDescent="0.25">
      <c r="A7" s="15" t="s">
        <v>81</v>
      </c>
      <c r="B7" s="14">
        <v>32</v>
      </c>
      <c r="C7" s="27">
        <v>0.09</v>
      </c>
      <c r="D7" s="14">
        <v>8.1999999999999993</v>
      </c>
      <c r="E7" s="14">
        <v>1591462.23</v>
      </c>
      <c r="F7" s="27">
        <v>0.16400000000000001</v>
      </c>
    </row>
    <row r="8" spans="1:6" x14ac:dyDescent="0.25">
      <c r="A8" s="13" t="s">
        <v>75</v>
      </c>
      <c r="B8" s="12">
        <v>7</v>
      </c>
      <c r="C8" s="27">
        <v>0.09</v>
      </c>
      <c r="D8" s="12">
        <v>7.1</v>
      </c>
      <c r="E8" s="12">
        <v>1356351.07</v>
      </c>
      <c r="F8" s="27">
        <v>0.16400000000000001</v>
      </c>
    </row>
    <row r="9" spans="1:6" x14ac:dyDescent="0.25">
      <c r="A9" s="15" t="s">
        <v>112</v>
      </c>
      <c r="B9" s="14">
        <v>6</v>
      </c>
      <c r="C9" s="27">
        <v>0.09</v>
      </c>
      <c r="D9" s="14">
        <v>10.5</v>
      </c>
      <c r="E9" s="14">
        <v>1063686.04</v>
      </c>
      <c r="F9" s="27">
        <v>0.16400000000000001</v>
      </c>
    </row>
    <row r="10" spans="1:6" x14ac:dyDescent="0.25">
      <c r="A10" s="13" t="s">
        <v>109</v>
      </c>
      <c r="B10" s="12">
        <v>11</v>
      </c>
      <c r="C10" s="27">
        <v>0.09</v>
      </c>
      <c r="D10" s="12">
        <v>7.9</v>
      </c>
      <c r="E10" s="12">
        <v>784956.77</v>
      </c>
      <c r="F10" s="27">
        <v>0.16400000000000001</v>
      </c>
    </row>
    <row r="11" spans="1:6" x14ac:dyDescent="0.25">
      <c r="A11" s="15" t="s">
        <v>86</v>
      </c>
      <c r="B11" s="14">
        <v>6</v>
      </c>
      <c r="C11" s="27">
        <v>0.09</v>
      </c>
      <c r="D11" s="14">
        <v>7.2</v>
      </c>
      <c r="E11" s="14">
        <v>718562.78</v>
      </c>
      <c r="F11" s="27">
        <v>0.16400000000000001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showGridLines="0" workbookViewId="0">
      <selection activeCell="F29" sqref="F29"/>
    </sheetView>
  </sheetViews>
  <sheetFormatPr defaultColWidth="15.5703125" defaultRowHeight="15" x14ac:dyDescent="0.25"/>
  <sheetData>
    <row r="1" spans="1:7" ht="30" customHeight="1" x14ac:dyDescent="0.25">
      <c r="A1" s="33" t="s">
        <v>219</v>
      </c>
      <c r="B1" s="30"/>
      <c r="C1" s="30"/>
      <c r="D1" s="30"/>
      <c r="E1" s="30"/>
      <c r="F1" s="30"/>
      <c r="G1" s="30"/>
    </row>
    <row r="2" spans="1:7" x14ac:dyDescent="0.25">
      <c r="A2" s="16" t="s">
        <v>12</v>
      </c>
      <c r="B2" s="16" t="s">
        <v>2</v>
      </c>
      <c r="C2" s="16" t="s">
        <v>5</v>
      </c>
      <c r="D2" s="16" t="s">
        <v>220</v>
      </c>
      <c r="E2" s="16" t="s">
        <v>14</v>
      </c>
      <c r="F2" s="16" t="s">
        <v>7</v>
      </c>
      <c r="G2" s="16" t="s">
        <v>221</v>
      </c>
    </row>
    <row r="3" spans="1:7" x14ac:dyDescent="0.25">
      <c r="A3" s="14" t="s">
        <v>222</v>
      </c>
      <c r="B3" s="14">
        <v>2</v>
      </c>
      <c r="C3" s="14">
        <v>1</v>
      </c>
      <c r="D3" s="14">
        <v>1</v>
      </c>
      <c r="E3" s="27">
        <v>0.5</v>
      </c>
      <c r="F3" s="14">
        <v>5</v>
      </c>
      <c r="G3" s="14">
        <v>441266.18</v>
      </c>
    </row>
    <row r="4" spans="1:7" x14ac:dyDescent="0.25">
      <c r="A4" s="12" t="s">
        <v>20</v>
      </c>
      <c r="B4" s="12">
        <v>10</v>
      </c>
      <c r="C4" s="12">
        <v>8</v>
      </c>
      <c r="D4" s="12">
        <v>2</v>
      </c>
      <c r="E4" s="28">
        <v>0.8</v>
      </c>
      <c r="F4" s="12">
        <v>7.8</v>
      </c>
      <c r="G4" s="12">
        <v>780313.97</v>
      </c>
    </row>
    <row r="5" spans="1:7" x14ac:dyDescent="0.25">
      <c r="A5" s="14" t="s">
        <v>25</v>
      </c>
      <c r="B5" s="14">
        <v>10</v>
      </c>
      <c r="C5" s="14">
        <v>7</v>
      </c>
      <c r="D5" s="14">
        <v>3</v>
      </c>
      <c r="E5" s="27">
        <v>0.7</v>
      </c>
      <c r="F5" s="14">
        <v>8.6999999999999993</v>
      </c>
      <c r="G5" s="14">
        <v>703697.92000000004</v>
      </c>
    </row>
    <row r="6" spans="1:7" x14ac:dyDescent="0.25">
      <c r="A6" s="12" t="s">
        <v>28</v>
      </c>
      <c r="B6" s="12">
        <v>5</v>
      </c>
      <c r="C6" s="12">
        <v>4</v>
      </c>
      <c r="D6" s="12">
        <v>1</v>
      </c>
      <c r="E6" s="28">
        <v>0.8</v>
      </c>
      <c r="F6" s="12">
        <v>8.1999999999999993</v>
      </c>
      <c r="G6" s="12">
        <v>104373.3</v>
      </c>
    </row>
    <row r="7" spans="1:7" x14ac:dyDescent="0.25">
      <c r="A7" s="14" t="s">
        <v>32</v>
      </c>
      <c r="B7" s="14">
        <v>4</v>
      </c>
      <c r="C7" s="14">
        <v>3</v>
      </c>
      <c r="D7" s="14">
        <v>1</v>
      </c>
      <c r="E7" s="27">
        <v>0.75</v>
      </c>
      <c r="F7" s="14">
        <v>9</v>
      </c>
      <c r="G7" s="14">
        <v>531988.65</v>
      </c>
    </row>
    <row r="8" spans="1:7" x14ac:dyDescent="0.25">
      <c r="A8" s="12" t="s">
        <v>35</v>
      </c>
      <c r="B8" s="12">
        <v>13</v>
      </c>
      <c r="C8" s="12">
        <v>10</v>
      </c>
      <c r="D8" s="12">
        <v>3</v>
      </c>
      <c r="E8" s="28">
        <v>0.76900000000000002</v>
      </c>
      <c r="F8" s="12">
        <v>10.1</v>
      </c>
      <c r="G8" s="12">
        <v>2693298.36</v>
      </c>
    </row>
    <row r="9" spans="1:7" x14ac:dyDescent="0.25">
      <c r="A9" s="14" t="s">
        <v>38</v>
      </c>
      <c r="B9" s="14">
        <v>7</v>
      </c>
      <c r="C9" s="14">
        <v>5</v>
      </c>
      <c r="D9" s="14">
        <v>2</v>
      </c>
      <c r="E9" s="27">
        <v>0.71399999999999997</v>
      </c>
      <c r="F9" s="14">
        <v>4.4000000000000004</v>
      </c>
      <c r="G9" s="14">
        <v>1144513.5900000001</v>
      </c>
    </row>
    <row r="10" spans="1:7" x14ac:dyDescent="0.25">
      <c r="A10" s="12" t="s">
        <v>42</v>
      </c>
      <c r="B10" s="12">
        <v>8</v>
      </c>
      <c r="C10" s="12">
        <v>6</v>
      </c>
      <c r="D10" s="12">
        <v>2</v>
      </c>
      <c r="E10" s="28">
        <v>0.75</v>
      </c>
      <c r="F10" s="12">
        <v>7.3</v>
      </c>
      <c r="G10" s="12">
        <v>439116.79999999999</v>
      </c>
    </row>
    <row r="11" spans="1:7" x14ac:dyDescent="0.25">
      <c r="A11" s="14" t="s">
        <v>46</v>
      </c>
      <c r="B11" s="14">
        <v>13</v>
      </c>
      <c r="C11" s="14">
        <v>11</v>
      </c>
      <c r="D11" s="14">
        <v>2</v>
      </c>
      <c r="E11" s="27">
        <v>0.84599999999999997</v>
      </c>
      <c r="F11" s="14">
        <v>5.5</v>
      </c>
      <c r="G11" s="14">
        <v>2331970.92</v>
      </c>
    </row>
    <row r="12" spans="1:7" x14ac:dyDescent="0.25">
      <c r="A12" s="12" t="s">
        <v>48</v>
      </c>
      <c r="B12" s="12">
        <v>5</v>
      </c>
      <c r="C12" s="12">
        <v>4</v>
      </c>
      <c r="D12" s="12">
        <v>1</v>
      </c>
      <c r="E12" s="28">
        <v>0.8</v>
      </c>
      <c r="F12" s="12">
        <v>8</v>
      </c>
      <c r="G12" s="12">
        <v>1219965.3899999999</v>
      </c>
    </row>
    <row r="13" spans="1:7" x14ac:dyDescent="0.25">
      <c r="A13" s="14" t="s">
        <v>51</v>
      </c>
      <c r="B13" s="14">
        <v>6</v>
      </c>
      <c r="C13" s="14">
        <v>6</v>
      </c>
      <c r="D13" s="14">
        <v>0</v>
      </c>
      <c r="E13" s="27">
        <v>1</v>
      </c>
      <c r="F13" s="14">
        <v>6.5</v>
      </c>
      <c r="G13" s="14">
        <v>113225.99</v>
      </c>
    </row>
    <row r="14" spans="1:7" x14ac:dyDescent="0.25">
      <c r="A14" s="12" t="s">
        <v>55</v>
      </c>
      <c r="B14" s="12">
        <v>10</v>
      </c>
      <c r="C14" s="12">
        <v>10</v>
      </c>
      <c r="D14" s="12">
        <v>0</v>
      </c>
      <c r="E14" s="28">
        <v>1</v>
      </c>
      <c r="F14" s="12">
        <v>6.9</v>
      </c>
      <c r="G14" s="12">
        <v>2266710.87</v>
      </c>
    </row>
    <row r="15" spans="1:7" x14ac:dyDescent="0.25">
      <c r="A15" s="14" t="s">
        <v>56</v>
      </c>
      <c r="B15" s="14">
        <v>7</v>
      </c>
      <c r="C15" s="14">
        <v>5</v>
      </c>
      <c r="D15" s="14">
        <v>2</v>
      </c>
      <c r="E15" s="27">
        <v>0.71399999999999997</v>
      </c>
      <c r="F15" s="14">
        <v>8.4</v>
      </c>
      <c r="G15" s="14">
        <v>604338.68000000005</v>
      </c>
    </row>
  </sheetData>
  <mergeCells count="1">
    <mergeCell ref="A1:G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2"/>
  <sheetViews>
    <sheetView showGridLines="0" workbookViewId="0">
      <selection activeCell="H6" sqref="H6"/>
    </sheetView>
  </sheetViews>
  <sheetFormatPr defaultColWidth="24.42578125" defaultRowHeight="15" x14ac:dyDescent="0.25"/>
  <sheetData>
    <row r="1" spans="1:7" ht="30" customHeight="1" x14ac:dyDescent="0.25">
      <c r="A1" s="33" t="s">
        <v>223</v>
      </c>
      <c r="B1" s="30"/>
      <c r="C1" s="30"/>
      <c r="D1" s="30"/>
      <c r="E1" s="30"/>
      <c r="F1" s="30"/>
      <c r="G1" s="30"/>
    </row>
    <row r="2" spans="1:7" x14ac:dyDescent="0.25">
      <c r="A2" s="16" t="s">
        <v>59</v>
      </c>
      <c r="B2" s="16" t="s">
        <v>224</v>
      </c>
      <c r="C2" s="16" t="s">
        <v>17</v>
      </c>
      <c r="D2" s="16" t="s">
        <v>61</v>
      </c>
      <c r="E2" s="16" t="s">
        <v>225</v>
      </c>
      <c r="F2" s="16" t="s">
        <v>226</v>
      </c>
      <c r="G2" s="16" t="s">
        <v>19</v>
      </c>
    </row>
    <row r="3" spans="1:7" x14ac:dyDescent="0.25">
      <c r="A3" s="15" t="s">
        <v>73</v>
      </c>
      <c r="B3" s="15" t="s">
        <v>227</v>
      </c>
      <c r="C3" s="15" t="s">
        <v>31</v>
      </c>
      <c r="D3" s="15" t="s">
        <v>80</v>
      </c>
      <c r="E3" s="14">
        <v>475</v>
      </c>
      <c r="F3" s="14">
        <v>200</v>
      </c>
      <c r="G3" s="14" t="s">
        <v>228</v>
      </c>
    </row>
    <row r="4" spans="1:7" x14ac:dyDescent="0.25">
      <c r="A4" s="13" t="s">
        <v>73</v>
      </c>
      <c r="B4" s="13" t="s">
        <v>227</v>
      </c>
      <c r="C4" s="13" t="s">
        <v>31</v>
      </c>
      <c r="D4" s="13" t="s">
        <v>90</v>
      </c>
      <c r="E4" s="12">
        <v>944</v>
      </c>
      <c r="F4" s="12">
        <v>200</v>
      </c>
      <c r="G4" s="12" t="s">
        <v>228</v>
      </c>
    </row>
    <row r="5" spans="1:7" x14ac:dyDescent="0.25">
      <c r="A5" s="15" t="s">
        <v>73</v>
      </c>
      <c r="B5" s="15" t="s">
        <v>227</v>
      </c>
      <c r="C5" s="15" t="s">
        <v>31</v>
      </c>
      <c r="D5" s="15" t="s">
        <v>104</v>
      </c>
      <c r="E5" s="14">
        <v>520</v>
      </c>
      <c r="F5" s="14">
        <v>200</v>
      </c>
      <c r="G5" s="14" t="s">
        <v>228</v>
      </c>
    </row>
    <row r="6" spans="1:7" x14ac:dyDescent="0.25">
      <c r="A6" s="13" t="s">
        <v>73</v>
      </c>
      <c r="B6" s="13" t="s">
        <v>227</v>
      </c>
      <c r="C6" s="13" t="s">
        <v>31</v>
      </c>
      <c r="D6" s="13" t="s">
        <v>85</v>
      </c>
      <c r="E6" s="12">
        <v>941</v>
      </c>
      <c r="F6" s="12">
        <v>200</v>
      </c>
      <c r="G6" s="12" t="s">
        <v>228</v>
      </c>
    </row>
    <row r="7" spans="1:7" x14ac:dyDescent="0.25">
      <c r="A7" s="15" t="s">
        <v>73</v>
      </c>
      <c r="B7" s="15" t="s">
        <v>227</v>
      </c>
      <c r="C7" s="15" t="s">
        <v>31</v>
      </c>
      <c r="D7" s="15" t="s">
        <v>74</v>
      </c>
      <c r="E7" s="14">
        <v>522</v>
      </c>
      <c r="F7" s="14">
        <v>200</v>
      </c>
      <c r="G7" s="14" t="s">
        <v>228</v>
      </c>
    </row>
    <row r="8" spans="1:7" x14ac:dyDescent="0.25">
      <c r="A8" s="13" t="s">
        <v>73</v>
      </c>
      <c r="B8" s="13" t="s">
        <v>227</v>
      </c>
      <c r="C8" s="13" t="s">
        <v>31</v>
      </c>
      <c r="D8" s="13" t="s">
        <v>101</v>
      </c>
      <c r="E8" s="12">
        <v>19</v>
      </c>
      <c r="F8" s="12">
        <v>200</v>
      </c>
      <c r="G8" s="12" t="s">
        <v>229</v>
      </c>
    </row>
    <row r="9" spans="1:7" x14ac:dyDescent="0.25">
      <c r="A9" s="15" t="s">
        <v>73</v>
      </c>
      <c r="B9" s="15" t="s">
        <v>227</v>
      </c>
      <c r="C9" s="15" t="s">
        <v>31</v>
      </c>
      <c r="D9" s="15" t="s">
        <v>122</v>
      </c>
      <c r="E9" s="14">
        <v>952</v>
      </c>
      <c r="F9" s="14">
        <v>200</v>
      </c>
      <c r="G9" s="14" t="s">
        <v>228</v>
      </c>
    </row>
    <row r="10" spans="1:7" x14ac:dyDescent="0.25">
      <c r="A10" s="13" t="s">
        <v>73</v>
      </c>
      <c r="B10" s="13" t="s">
        <v>227</v>
      </c>
      <c r="C10" s="13" t="s">
        <v>31</v>
      </c>
      <c r="D10" s="13" t="s">
        <v>107</v>
      </c>
      <c r="E10" s="12">
        <v>589</v>
      </c>
      <c r="F10" s="12">
        <v>200</v>
      </c>
      <c r="G10" s="12" t="s">
        <v>228</v>
      </c>
    </row>
    <row r="11" spans="1:7" x14ac:dyDescent="0.25">
      <c r="A11" s="15" t="s">
        <v>126</v>
      </c>
      <c r="B11" s="15" t="s">
        <v>230</v>
      </c>
      <c r="C11" s="15" t="s">
        <v>23</v>
      </c>
      <c r="D11" s="15" t="s">
        <v>80</v>
      </c>
      <c r="E11" s="14">
        <v>1119</v>
      </c>
      <c r="F11" s="14">
        <v>200</v>
      </c>
      <c r="G11" s="14" t="s">
        <v>228</v>
      </c>
    </row>
    <row r="12" spans="1:7" x14ac:dyDescent="0.25">
      <c r="A12" s="13" t="s">
        <v>126</v>
      </c>
      <c r="B12" s="13" t="s">
        <v>230</v>
      </c>
      <c r="C12" s="13" t="s">
        <v>23</v>
      </c>
      <c r="D12" s="13" t="s">
        <v>90</v>
      </c>
      <c r="E12" s="12">
        <v>323</v>
      </c>
      <c r="F12" s="12">
        <v>200</v>
      </c>
      <c r="G12" s="12" t="s">
        <v>228</v>
      </c>
    </row>
    <row r="13" spans="1:7" x14ac:dyDescent="0.25">
      <c r="A13" s="15" t="s">
        <v>126</v>
      </c>
      <c r="B13" s="15" t="s">
        <v>230</v>
      </c>
      <c r="C13" s="15" t="s">
        <v>23</v>
      </c>
      <c r="D13" s="15" t="s">
        <v>104</v>
      </c>
      <c r="E13" s="14">
        <v>151</v>
      </c>
      <c r="F13" s="14">
        <v>200</v>
      </c>
      <c r="G13" s="14" t="s">
        <v>229</v>
      </c>
    </row>
    <row r="14" spans="1:7" x14ac:dyDescent="0.25">
      <c r="A14" s="13" t="s">
        <v>126</v>
      </c>
      <c r="B14" s="13" t="s">
        <v>230</v>
      </c>
      <c r="C14" s="13" t="s">
        <v>23</v>
      </c>
      <c r="D14" s="13" t="s">
        <v>85</v>
      </c>
      <c r="E14" s="12">
        <v>904</v>
      </c>
      <c r="F14" s="12">
        <v>200</v>
      </c>
      <c r="G14" s="12" t="s">
        <v>228</v>
      </c>
    </row>
    <row r="15" spans="1:7" x14ac:dyDescent="0.25">
      <c r="A15" s="15" t="s">
        <v>126</v>
      </c>
      <c r="B15" s="15" t="s">
        <v>230</v>
      </c>
      <c r="C15" s="15" t="s">
        <v>23</v>
      </c>
      <c r="D15" s="15" t="s">
        <v>74</v>
      </c>
      <c r="E15" s="14">
        <v>707</v>
      </c>
      <c r="F15" s="14">
        <v>200</v>
      </c>
      <c r="G15" s="14" t="s">
        <v>228</v>
      </c>
    </row>
    <row r="16" spans="1:7" x14ac:dyDescent="0.25">
      <c r="A16" s="13" t="s">
        <v>126</v>
      </c>
      <c r="B16" s="13" t="s">
        <v>230</v>
      </c>
      <c r="C16" s="13" t="s">
        <v>23</v>
      </c>
      <c r="D16" s="13" t="s">
        <v>101</v>
      </c>
      <c r="E16" s="12">
        <v>612</v>
      </c>
      <c r="F16" s="12">
        <v>200</v>
      </c>
      <c r="G16" s="12" t="s">
        <v>228</v>
      </c>
    </row>
    <row r="17" spans="1:7" x14ac:dyDescent="0.25">
      <c r="A17" s="15" t="s">
        <v>126</v>
      </c>
      <c r="B17" s="15" t="s">
        <v>230</v>
      </c>
      <c r="C17" s="15" t="s">
        <v>23</v>
      </c>
      <c r="D17" s="15" t="s">
        <v>122</v>
      </c>
      <c r="E17" s="14">
        <v>868</v>
      </c>
      <c r="F17" s="14">
        <v>200</v>
      </c>
      <c r="G17" s="14" t="s">
        <v>228</v>
      </c>
    </row>
    <row r="18" spans="1:7" x14ac:dyDescent="0.25">
      <c r="A18" s="13" t="s">
        <v>126</v>
      </c>
      <c r="B18" s="13" t="s">
        <v>230</v>
      </c>
      <c r="C18" s="13" t="s">
        <v>23</v>
      </c>
      <c r="D18" s="13" t="s">
        <v>107</v>
      </c>
      <c r="E18" s="12">
        <v>512</v>
      </c>
      <c r="F18" s="12">
        <v>200</v>
      </c>
      <c r="G18" s="12" t="s">
        <v>228</v>
      </c>
    </row>
    <row r="19" spans="1:7" x14ac:dyDescent="0.25">
      <c r="A19" s="15" t="s">
        <v>114</v>
      </c>
      <c r="B19" s="15" t="s">
        <v>231</v>
      </c>
      <c r="C19" s="15" t="s">
        <v>45</v>
      </c>
      <c r="D19" s="15" t="s">
        <v>80</v>
      </c>
      <c r="E19" s="14">
        <v>935</v>
      </c>
      <c r="F19" s="14">
        <v>200</v>
      </c>
      <c r="G19" s="14" t="s">
        <v>228</v>
      </c>
    </row>
    <row r="20" spans="1:7" x14ac:dyDescent="0.25">
      <c r="A20" s="13" t="s">
        <v>114</v>
      </c>
      <c r="B20" s="13" t="s">
        <v>231</v>
      </c>
      <c r="C20" s="13" t="s">
        <v>45</v>
      </c>
      <c r="D20" s="13" t="s">
        <v>90</v>
      </c>
      <c r="E20" s="12">
        <v>618</v>
      </c>
      <c r="F20" s="12">
        <v>200</v>
      </c>
      <c r="G20" s="12" t="s">
        <v>228</v>
      </c>
    </row>
    <row r="21" spans="1:7" x14ac:dyDescent="0.25">
      <c r="A21" s="15" t="s">
        <v>114</v>
      </c>
      <c r="B21" s="15" t="s">
        <v>231</v>
      </c>
      <c r="C21" s="15" t="s">
        <v>45</v>
      </c>
      <c r="D21" s="15" t="s">
        <v>104</v>
      </c>
      <c r="E21" s="14">
        <v>407</v>
      </c>
      <c r="F21" s="14">
        <v>200</v>
      </c>
      <c r="G21" s="14" t="s">
        <v>228</v>
      </c>
    </row>
    <row r="22" spans="1:7" x14ac:dyDescent="0.25">
      <c r="A22" s="13" t="s">
        <v>114</v>
      </c>
      <c r="B22" s="13" t="s">
        <v>231</v>
      </c>
      <c r="C22" s="13" t="s">
        <v>45</v>
      </c>
      <c r="D22" s="13" t="s">
        <v>85</v>
      </c>
      <c r="E22" s="12">
        <v>787</v>
      </c>
      <c r="F22" s="12">
        <v>200</v>
      </c>
      <c r="G22" s="12" t="s">
        <v>228</v>
      </c>
    </row>
    <row r="23" spans="1:7" x14ac:dyDescent="0.25">
      <c r="A23" s="15" t="s">
        <v>114</v>
      </c>
      <c r="B23" s="15" t="s">
        <v>231</v>
      </c>
      <c r="C23" s="15" t="s">
        <v>45</v>
      </c>
      <c r="D23" s="15" t="s">
        <v>74</v>
      </c>
      <c r="E23" s="14">
        <v>989</v>
      </c>
      <c r="F23" s="14">
        <v>200</v>
      </c>
      <c r="G23" s="14" t="s">
        <v>228</v>
      </c>
    </row>
    <row r="24" spans="1:7" x14ac:dyDescent="0.25">
      <c r="A24" s="13" t="s">
        <v>114</v>
      </c>
      <c r="B24" s="13" t="s">
        <v>231</v>
      </c>
      <c r="C24" s="13" t="s">
        <v>45</v>
      </c>
      <c r="D24" s="13" t="s">
        <v>101</v>
      </c>
      <c r="E24" s="12">
        <v>218</v>
      </c>
      <c r="F24" s="12">
        <v>200</v>
      </c>
      <c r="G24" s="12" t="s">
        <v>232</v>
      </c>
    </row>
    <row r="25" spans="1:7" x14ac:dyDescent="0.25">
      <c r="A25" s="15" t="s">
        <v>114</v>
      </c>
      <c r="B25" s="15" t="s">
        <v>231</v>
      </c>
      <c r="C25" s="15" t="s">
        <v>45</v>
      </c>
      <c r="D25" s="15" t="s">
        <v>122</v>
      </c>
      <c r="E25" s="14">
        <v>485</v>
      </c>
      <c r="F25" s="14">
        <v>200</v>
      </c>
      <c r="G25" s="14" t="s">
        <v>228</v>
      </c>
    </row>
    <row r="26" spans="1:7" x14ac:dyDescent="0.25">
      <c r="A26" s="13" t="s">
        <v>114</v>
      </c>
      <c r="B26" s="13" t="s">
        <v>231</v>
      </c>
      <c r="C26" s="13" t="s">
        <v>45</v>
      </c>
      <c r="D26" s="13" t="s">
        <v>107</v>
      </c>
      <c r="E26" s="12">
        <v>781</v>
      </c>
      <c r="F26" s="12">
        <v>200</v>
      </c>
      <c r="G26" s="12" t="s">
        <v>228</v>
      </c>
    </row>
    <row r="27" spans="1:7" x14ac:dyDescent="0.25">
      <c r="A27" s="15" t="s">
        <v>97</v>
      </c>
      <c r="B27" s="15" t="s">
        <v>233</v>
      </c>
      <c r="C27" s="15" t="s">
        <v>31</v>
      </c>
      <c r="D27" s="15" t="s">
        <v>80</v>
      </c>
      <c r="E27" s="14">
        <v>1171</v>
      </c>
      <c r="F27" s="14">
        <v>200</v>
      </c>
      <c r="G27" s="14" t="s">
        <v>228</v>
      </c>
    </row>
    <row r="28" spans="1:7" x14ac:dyDescent="0.25">
      <c r="A28" s="13" t="s">
        <v>97</v>
      </c>
      <c r="B28" s="13" t="s">
        <v>233</v>
      </c>
      <c r="C28" s="13" t="s">
        <v>31</v>
      </c>
      <c r="D28" s="13" t="s">
        <v>90</v>
      </c>
      <c r="E28" s="12">
        <v>735</v>
      </c>
      <c r="F28" s="12">
        <v>200</v>
      </c>
      <c r="G28" s="12" t="s">
        <v>228</v>
      </c>
    </row>
    <row r="29" spans="1:7" x14ac:dyDescent="0.25">
      <c r="A29" s="15" t="s">
        <v>97</v>
      </c>
      <c r="B29" s="15" t="s">
        <v>233</v>
      </c>
      <c r="C29" s="15" t="s">
        <v>31</v>
      </c>
      <c r="D29" s="15" t="s">
        <v>104</v>
      </c>
      <c r="E29" s="14">
        <v>1177</v>
      </c>
      <c r="F29" s="14">
        <v>200</v>
      </c>
      <c r="G29" s="14" t="s">
        <v>228</v>
      </c>
    </row>
    <row r="30" spans="1:7" x14ac:dyDescent="0.25">
      <c r="A30" s="13" t="s">
        <v>97</v>
      </c>
      <c r="B30" s="13" t="s">
        <v>233</v>
      </c>
      <c r="C30" s="13" t="s">
        <v>31</v>
      </c>
      <c r="D30" s="13" t="s">
        <v>85</v>
      </c>
      <c r="E30" s="12">
        <v>605</v>
      </c>
      <c r="F30" s="12">
        <v>200</v>
      </c>
      <c r="G30" s="12" t="s">
        <v>228</v>
      </c>
    </row>
    <row r="31" spans="1:7" x14ac:dyDescent="0.25">
      <c r="A31" s="15" t="s">
        <v>97</v>
      </c>
      <c r="B31" s="15" t="s">
        <v>233</v>
      </c>
      <c r="C31" s="15" t="s">
        <v>31</v>
      </c>
      <c r="D31" s="15" t="s">
        <v>74</v>
      </c>
      <c r="E31" s="14">
        <v>604</v>
      </c>
      <c r="F31" s="14">
        <v>200</v>
      </c>
      <c r="G31" s="14" t="s">
        <v>228</v>
      </c>
    </row>
    <row r="32" spans="1:7" x14ac:dyDescent="0.25">
      <c r="A32" s="13" t="s">
        <v>97</v>
      </c>
      <c r="B32" s="13" t="s">
        <v>233</v>
      </c>
      <c r="C32" s="13" t="s">
        <v>31</v>
      </c>
      <c r="D32" s="13" t="s">
        <v>101</v>
      </c>
      <c r="E32" s="12">
        <v>44</v>
      </c>
      <c r="F32" s="12">
        <v>200</v>
      </c>
      <c r="G32" s="12" t="s">
        <v>229</v>
      </c>
    </row>
    <row r="33" spans="1:7" x14ac:dyDescent="0.25">
      <c r="A33" s="15" t="s">
        <v>97</v>
      </c>
      <c r="B33" s="15" t="s">
        <v>233</v>
      </c>
      <c r="C33" s="15" t="s">
        <v>31</v>
      </c>
      <c r="D33" s="15" t="s">
        <v>122</v>
      </c>
      <c r="E33" s="14">
        <v>810</v>
      </c>
      <c r="F33" s="14">
        <v>200</v>
      </c>
      <c r="G33" s="14" t="s">
        <v>228</v>
      </c>
    </row>
    <row r="34" spans="1:7" x14ac:dyDescent="0.25">
      <c r="A34" s="13" t="s">
        <v>97</v>
      </c>
      <c r="B34" s="13" t="s">
        <v>233</v>
      </c>
      <c r="C34" s="13" t="s">
        <v>31</v>
      </c>
      <c r="D34" s="13" t="s">
        <v>107</v>
      </c>
      <c r="E34" s="12">
        <v>562</v>
      </c>
      <c r="F34" s="12">
        <v>200</v>
      </c>
      <c r="G34" s="12" t="s">
        <v>228</v>
      </c>
    </row>
    <row r="35" spans="1:7" x14ac:dyDescent="0.25">
      <c r="A35" s="15" t="s">
        <v>142</v>
      </c>
      <c r="B35" s="15" t="s">
        <v>234</v>
      </c>
      <c r="C35" s="15" t="s">
        <v>41</v>
      </c>
      <c r="D35" s="15" t="s">
        <v>80</v>
      </c>
      <c r="E35" s="14">
        <v>16</v>
      </c>
      <c r="F35" s="14">
        <v>200</v>
      </c>
      <c r="G35" s="14" t="s">
        <v>229</v>
      </c>
    </row>
    <row r="36" spans="1:7" x14ac:dyDescent="0.25">
      <c r="A36" s="13" t="s">
        <v>142</v>
      </c>
      <c r="B36" s="13" t="s">
        <v>234</v>
      </c>
      <c r="C36" s="13" t="s">
        <v>41</v>
      </c>
      <c r="D36" s="13" t="s">
        <v>90</v>
      </c>
      <c r="E36" s="12">
        <v>1159</v>
      </c>
      <c r="F36" s="12">
        <v>200</v>
      </c>
      <c r="G36" s="12" t="s">
        <v>228</v>
      </c>
    </row>
    <row r="37" spans="1:7" x14ac:dyDescent="0.25">
      <c r="A37" s="15" t="s">
        <v>142</v>
      </c>
      <c r="B37" s="15" t="s">
        <v>234</v>
      </c>
      <c r="C37" s="15" t="s">
        <v>41</v>
      </c>
      <c r="D37" s="15" t="s">
        <v>104</v>
      </c>
      <c r="E37" s="14">
        <v>100</v>
      </c>
      <c r="F37" s="14">
        <v>200</v>
      </c>
      <c r="G37" s="14" t="s">
        <v>229</v>
      </c>
    </row>
    <row r="38" spans="1:7" x14ac:dyDescent="0.25">
      <c r="A38" s="13" t="s">
        <v>142</v>
      </c>
      <c r="B38" s="13" t="s">
        <v>234</v>
      </c>
      <c r="C38" s="13" t="s">
        <v>41</v>
      </c>
      <c r="D38" s="13" t="s">
        <v>85</v>
      </c>
      <c r="E38" s="12">
        <v>1017</v>
      </c>
      <c r="F38" s="12">
        <v>200</v>
      </c>
      <c r="G38" s="12" t="s">
        <v>228</v>
      </c>
    </row>
    <row r="39" spans="1:7" x14ac:dyDescent="0.25">
      <c r="A39" s="15" t="s">
        <v>142</v>
      </c>
      <c r="B39" s="15" t="s">
        <v>234</v>
      </c>
      <c r="C39" s="15" t="s">
        <v>41</v>
      </c>
      <c r="D39" s="15" t="s">
        <v>74</v>
      </c>
      <c r="E39" s="14">
        <v>586</v>
      </c>
      <c r="F39" s="14">
        <v>200</v>
      </c>
      <c r="G39" s="14" t="s">
        <v>228</v>
      </c>
    </row>
    <row r="40" spans="1:7" x14ac:dyDescent="0.25">
      <c r="A40" s="13" t="s">
        <v>142</v>
      </c>
      <c r="B40" s="13" t="s">
        <v>234</v>
      </c>
      <c r="C40" s="13" t="s">
        <v>41</v>
      </c>
      <c r="D40" s="13" t="s">
        <v>101</v>
      </c>
      <c r="E40" s="12">
        <v>471</v>
      </c>
      <c r="F40" s="12">
        <v>200</v>
      </c>
      <c r="G40" s="12" t="s">
        <v>228</v>
      </c>
    </row>
    <row r="41" spans="1:7" x14ac:dyDescent="0.25">
      <c r="A41" s="15" t="s">
        <v>142</v>
      </c>
      <c r="B41" s="15" t="s">
        <v>234</v>
      </c>
      <c r="C41" s="15" t="s">
        <v>41</v>
      </c>
      <c r="D41" s="15" t="s">
        <v>122</v>
      </c>
      <c r="E41" s="14">
        <v>721</v>
      </c>
      <c r="F41" s="14">
        <v>200</v>
      </c>
      <c r="G41" s="14" t="s">
        <v>228</v>
      </c>
    </row>
    <row r="42" spans="1:7" x14ac:dyDescent="0.25">
      <c r="A42" s="13" t="s">
        <v>142</v>
      </c>
      <c r="B42" s="13" t="s">
        <v>234</v>
      </c>
      <c r="C42" s="13" t="s">
        <v>41</v>
      </c>
      <c r="D42" s="13" t="s">
        <v>107</v>
      </c>
      <c r="E42" s="12">
        <v>448</v>
      </c>
      <c r="F42" s="12">
        <v>200</v>
      </c>
      <c r="G42" s="12" t="s">
        <v>228</v>
      </c>
    </row>
    <row r="43" spans="1:7" x14ac:dyDescent="0.25">
      <c r="A43" s="15" t="s">
        <v>89</v>
      </c>
      <c r="B43" s="15" t="s">
        <v>235</v>
      </c>
      <c r="C43" s="15" t="s">
        <v>54</v>
      </c>
      <c r="D43" s="15" t="s">
        <v>80</v>
      </c>
      <c r="E43" s="14">
        <v>389</v>
      </c>
      <c r="F43" s="14">
        <v>200</v>
      </c>
      <c r="G43" s="14" t="s">
        <v>228</v>
      </c>
    </row>
    <row r="44" spans="1:7" x14ac:dyDescent="0.25">
      <c r="A44" s="13" t="s">
        <v>89</v>
      </c>
      <c r="B44" s="13" t="s">
        <v>235</v>
      </c>
      <c r="C44" s="13" t="s">
        <v>54</v>
      </c>
      <c r="D44" s="13" t="s">
        <v>90</v>
      </c>
      <c r="E44" s="12">
        <v>513</v>
      </c>
      <c r="F44" s="12">
        <v>200</v>
      </c>
      <c r="G44" s="12" t="s">
        <v>228</v>
      </c>
    </row>
    <row r="45" spans="1:7" x14ac:dyDescent="0.25">
      <c r="A45" s="15" t="s">
        <v>89</v>
      </c>
      <c r="B45" s="15" t="s">
        <v>235</v>
      </c>
      <c r="C45" s="15" t="s">
        <v>54</v>
      </c>
      <c r="D45" s="15" t="s">
        <v>104</v>
      </c>
      <c r="E45" s="14">
        <v>280</v>
      </c>
      <c r="F45" s="14">
        <v>200</v>
      </c>
      <c r="G45" s="14" t="s">
        <v>228</v>
      </c>
    </row>
    <row r="46" spans="1:7" x14ac:dyDescent="0.25">
      <c r="A46" s="13" t="s">
        <v>89</v>
      </c>
      <c r="B46" s="13" t="s">
        <v>235</v>
      </c>
      <c r="C46" s="13" t="s">
        <v>54</v>
      </c>
      <c r="D46" s="13" t="s">
        <v>85</v>
      </c>
      <c r="E46" s="12">
        <v>198</v>
      </c>
      <c r="F46" s="12">
        <v>200</v>
      </c>
      <c r="G46" s="12" t="s">
        <v>229</v>
      </c>
    </row>
    <row r="47" spans="1:7" x14ac:dyDescent="0.25">
      <c r="A47" s="15" t="s">
        <v>89</v>
      </c>
      <c r="B47" s="15" t="s">
        <v>235</v>
      </c>
      <c r="C47" s="15" t="s">
        <v>54</v>
      </c>
      <c r="D47" s="15" t="s">
        <v>74</v>
      </c>
      <c r="E47" s="14">
        <v>80</v>
      </c>
      <c r="F47" s="14">
        <v>200</v>
      </c>
      <c r="G47" s="14" t="s">
        <v>229</v>
      </c>
    </row>
    <row r="48" spans="1:7" x14ac:dyDescent="0.25">
      <c r="A48" s="13" t="s">
        <v>89</v>
      </c>
      <c r="B48" s="13" t="s">
        <v>235</v>
      </c>
      <c r="C48" s="13" t="s">
        <v>54</v>
      </c>
      <c r="D48" s="13" t="s">
        <v>101</v>
      </c>
      <c r="E48" s="12">
        <v>632</v>
      </c>
      <c r="F48" s="12">
        <v>200</v>
      </c>
      <c r="G48" s="12" t="s">
        <v>228</v>
      </c>
    </row>
    <row r="49" spans="1:7" x14ac:dyDescent="0.25">
      <c r="A49" s="15" t="s">
        <v>89</v>
      </c>
      <c r="B49" s="15" t="s">
        <v>235</v>
      </c>
      <c r="C49" s="15" t="s">
        <v>54</v>
      </c>
      <c r="D49" s="15" t="s">
        <v>122</v>
      </c>
      <c r="E49" s="14">
        <v>902</v>
      </c>
      <c r="F49" s="14">
        <v>200</v>
      </c>
      <c r="G49" s="14" t="s">
        <v>228</v>
      </c>
    </row>
    <row r="50" spans="1:7" x14ac:dyDescent="0.25">
      <c r="A50" s="13" t="s">
        <v>89</v>
      </c>
      <c r="B50" s="13" t="s">
        <v>235</v>
      </c>
      <c r="C50" s="13" t="s">
        <v>54</v>
      </c>
      <c r="D50" s="13" t="s">
        <v>107</v>
      </c>
      <c r="E50" s="12">
        <v>68</v>
      </c>
      <c r="F50" s="12">
        <v>200</v>
      </c>
      <c r="G50" s="12" t="s">
        <v>229</v>
      </c>
    </row>
    <row r="51" spans="1:7" x14ac:dyDescent="0.25">
      <c r="A51" s="15" t="s">
        <v>79</v>
      </c>
      <c r="B51" s="15" t="s">
        <v>236</v>
      </c>
      <c r="C51" s="15" t="s">
        <v>50</v>
      </c>
      <c r="D51" s="15" t="s">
        <v>80</v>
      </c>
      <c r="E51" s="14">
        <v>1186</v>
      </c>
      <c r="F51" s="14">
        <v>200</v>
      </c>
      <c r="G51" s="14" t="s">
        <v>228</v>
      </c>
    </row>
    <row r="52" spans="1:7" x14ac:dyDescent="0.25">
      <c r="A52" s="13" t="s">
        <v>79</v>
      </c>
      <c r="B52" s="13" t="s">
        <v>236</v>
      </c>
      <c r="C52" s="13" t="s">
        <v>50</v>
      </c>
      <c r="D52" s="13" t="s">
        <v>90</v>
      </c>
      <c r="E52" s="12">
        <v>747</v>
      </c>
      <c r="F52" s="12">
        <v>200</v>
      </c>
      <c r="G52" s="12" t="s">
        <v>228</v>
      </c>
    </row>
    <row r="53" spans="1:7" x14ac:dyDescent="0.25">
      <c r="A53" s="15" t="s">
        <v>79</v>
      </c>
      <c r="B53" s="15" t="s">
        <v>236</v>
      </c>
      <c r="C53" s="15" t="s">
        <v>50</v>
      </c>
      <c r="D53" s="15" t="s">
        <v>104</v>
      </c>
      <c r="E53" s="14">
        <v>269</v>
      </c>
      <c r="F53" s="14">
        <v>200</v>
      </c>
      <c r="G53" s="14" t="s">
        <v>228</v>
      </c>
    </row>
    <row r="54" spans="1:7" x14ac:dyDescent="0.25">
      <c r="A54" s="13" t="s">
        <v>79</v>
      </c>
      <c r="B54" s="13" t="s">
        <v>236</v>
      </c>
      <c r="C54" s="13" t="s">
        <v>50</v>
      </c>
      <c r="D54" s="13" t="s">
        <v>85</v>
      </c>
      <c r="E54" s="12">
        <v>184</v>
      </c>
      <c r="F54" s="12">
        <v>200</v>
      </c>
      <c r="G54" s="12" t="s">
        <v>229</v>
      </c>
    </row>
    <row r="55" spans="1:7" x14ac:dyDescent="0.25">
      <c r="A55" s="15" t="s">
        <v>79</v>
      </c>
      <c r="B55" s="15" t="s">
        <v>236</v>
      </c>
      <c r="C55" s="15" t="s">
        <v>50</v>
      </c>
      <c r="D55" s="15" t="s">
        <v>74</v>
      </c>
      <c r="E55" s="14">
        <v>604</v>
      </c>
      <c r="F55" s="14">
        <v>200</v>
      </c>
      <c r="G55" s="14" t="s">
        <v>228</v>
      </c>
    </row>
    <row r="56" spans="1:7" x14ac:dyDescent="0.25">
      <c r="A56" s="13" t="s">
        <v>79</v>
      </c>
      <c r="B56" s="13" t="s">
        <v>236</v>
      </c>
      <c r="C56" s="13" t="s">
        <v>50</v>
      </c>
      <c r="D56" s="13" t="s">
        <v>101</v>
      </c>
      <c r="E56" s="12">
        <v>669</v>
      </c>
      <c r="F56" s="12">
        <v>200</v>
      </c>
      <c r="G56" s="12" t="s">
        <v>228</v>
      </c>
    </row>
    <row r="57" spans="1:7" x14ac:dyDescent="0.25">
      <c r="A57" s="15" t="s">
        <v>79</v>
      </c>
      <c r="B57" s="15" t="s">
        <v>236</v>
      </c>
      <c r="C57" s="15" t="s">
        <v>50</v>
      </c>
      <c r="D57" s="15" t="s">
        <v>122</v>
      </c>
      <c r="E57" s="14">
        <v>850</v>
      </c>
      <c r="F57" s="14">
        <v>200</v>
      </c>
      <c r="G57" s="14" t="s">
        <v>228</v>
      </c>
    </row>
    <row r="58" spans="1:7" x14ac:dyDescent="0.25">
      <c r="A58" s="13" t="s">
        <v>79</v>
      </c>
      <c r="B58" s="13" t="s">
        <v>236</v>
      </c>
      <c r="C58" s="13" t="s">
        <v>50</v>
      </c>
      <c r="D58" s="13" t="s">
        <v>107</v>
      </c>
      <c r="E58" s="12">
        <v>359</v>
      </c>
      <c r="F58" s="12">
        <v>200</v>
      </c>
      <c r="G58" s="12" t="s">
        <v>228</v>
      </c>
    </row>
    <row r="59" spans="1:7" x14ac:dyDescent="0.25">
      <c r="A59" s="15" t="s">
        <v>100</v>
      </c>
      <c r="B59" s="15" t="s">
        <v>237</v>
      </c>
      <c r="C59" s="15" t="s">
        <v>23</v>
      </c>
      <c r="D59" s="15" t="s">
        <v>80</v>
      </c>
      <c r="E59" s="14">
        <v>411</v>
      </c>
      <c r="F59" s="14">
        <v>200</v>
      </c>
      <c r="G59" s="14" t="s">
        <v>228</v>
      </c>
    </row>
    <row r="60" spans="1:7" x14ac:dyDescent="0.25">
      <c r="A60" s="13" t="s">
        <v>100</v>
      </c>
      <c r="B60" s="13" t="s">
        <v>237</v>
      </c>
      <c r="C60" s="13" t="s">
        <v>23</v>
      </c>
      <c r="D60" s="13" t="s">
        <v>90</v>
      </c>
      <c r="E60" s="12">
        <v>270</v>
      </c>
      <c r="F60" s="12">
        <v>200</v>
      </c>
      <c r="G60" s="12" t="s">
        <v>228</v>
      </c>
    </row>
    <row r="61" spans="1:7" x14ac:dyDescent="0.25">
      <c r="A61" s="15" t="s">
        <v>100</v>
      </c>
      <c r="B61" s="15" t="s">
        <v>237</v>
      </c>
      <c r="C61" s="15" t="s">
        <v>23</v>
      </c>
      <c r="D61" s="15" t="s">
        <v>104</v>
      </c>
      <c r="E61" s="14">
        <v>1104</v>
      </c>
      <c r="F61" s="14">
        <v>200</v>
      </c>
      <c r="G61" s="14" t="s">
        <v>228</v>
      </c>
    </row>
    <row r="62" spans="1:7" x14ac:dyDescent="0.25">
      <c r="A62" s="13" t="s">
        <v>100</v>
      </c>
      <c r="B62" s="13" t="s">
        <v>237</v>
      </c>
      <c r="C62" s="13" t="s">
        <v>23</v>
      </c>
      <c r="D62" s="13" t="s">
        <v>85</v>
      </c>
      <c r="E62" s="12">
        <v>749</v>
      </c>
      <c r="F62" s="12">
        <v>200</v>
      </c>
      <c r="G62" s="12" t="s">
        <v>228</v>
      </c>
    </row>
    <row r="63" spans="1:7" x14ac:dyDescent="0.25">
      <c r="A63" s="15" t="s">
        <v>100</v>
      </c>
      <c r="B63" s="15" t="s">
        <v>237</v>
      </c>
      <c r="C63" s="15" t="s">
        <v>23</v>
      </c>
      <c r="D63" s="15" t="s">
        <v>74</v>
      </c>
      <c r="E63" s="14">
        <v>1087</v>
      </c>
      <c r="F63" s="14">
        <v>200</v>
      </c>
      <c r="G63" s="14" t="s">
        <v>228</v>
      </c>
    </row>
    <row r="64" spans="1:7" x14ac:dyDescent="0.25">
      <c r="A64" s="13" t="s">
        <v>100</v>
      </c>
      <c r="B64" s="13" t="s">
        <v>237</v>
      </c>
      <c r="C64" s="13" t="s">
        <v>23</v>
      </c>
      <c r="D64" s="13" t="s">
        <v>101</v>
      </c>
      <c r="E64" s="12">
        <v>1027</v>
      </c>
      <c r="F64" s="12">
        <v>200</v>
      </c>
      <c r="G64" s="12" t="s">
        <v>228</v>
      </c>
    </row>
    <row r="65" spans="1:7" x14ac:dyDescent="0.25">
      <c r="A65" s="15" t="s">
        <v>100</v>
      </c>
      <c r="B65" s="15" t="s">
        <v>237</v>
      </c>
      <c r="C65" s="15" t="s">
        <v>23</v>
      </c>
      <c r="D65" s="15" t="s">
        <v>122</v>
      </c>
      <c r="E65" s="14">
        <v>558</v>
      </c>
      <c r="F65" s="14">
        <v>200</v>
      </c>
      <c r="G65" s="14" t="s">
        <v>228</v>
      </c>
    </row>
    <row r="66" spans="1:7" x14ac:dyDescent="0.25">
      <c r="A66" s="13" t="s">
        <v>100</v>
      </c>
      <c r="B66" s="13" t="s">
        <v>237</v>
      </c>
      <c r="C66" s="13" t="s">
        <v>23</v>
      </c>
      <c r="D66" s="13" t="s">
        <v>107</v>
      </c>
      <c r="E66" s="12">
        <v>336</v>
      </c>
      <c r="F66" s="12">
        <v>200</v>
      </c>
      <c r="G66" s="12" t="s">
        <v>228</v>
      </c>
    </row>
    <row r="67" spans="1:7" x14ac:dyDescent="0.25">
      <c r="A67" s="15" t="s">
        <v>93</v>
      </c>
      <c r="B67" s="15" t="s">
        <v>238</v>
      </c>
      <c r="C67" s="15" t="s">
        <v>31</v>
      </c>
      <c r="D67" s="15" t="s">
        <v>80</v>
      </c>
      <c r="E67" s="14">
        <v>526</v>
      </c>
      <c r="F67" s="14">
        <v>200</v>
      </c>
      <c r="G67" s="14" t="s">
        <v>228</v>
      </c>
    </row>
    <row r="68" spans="1:7" x14ac:dyDescent="0.25">
      <c r="A68" s="13" t="s">
        <v>93</v>
      </c>
      <c r="B68" s="13" t="s">
        <v>238</v>
      </c>
      <c r="C68" s="13" t="s">
        <v>31</v>
      </c>
      <c r="D68" s="13" t="s">
        <v>90</v>
      </c>
      <c r="E68" s="12">
        <v>986</v>
      </c>
      <c r="F68" s="12">
        <v>200</v>
      </c>
      <c r="G68" s="12" t="s">
        <v>228</v>
      </c>
    </row>
    <row r="69" spans="1:7" x14ac:dyDescent="0.25">
      <c r="A69" s="15" t="s">
        <v>93</v>
      </c>
      <c r="B69" s="15" t="s">
        <v>238</v>
      </c>
      <c r="C69" s="15" t="s">
        <v>31</v>
      </c>
      <c r="D69" s="15" t="s">
        <v>104</v>
      </c>
      <c r="E69" s="14">
        <v>604</v>
      </c>
      <c r="F69" s="14">
        <v>200</v>
      </c>
      <c r="G69" s="14" t="s">
        <v>228</v>
      </c>
    </row>
    <row r="70" spans="1:7" x14ac:dyDescent="0.25">
      <c r="A70" s="13" t="s">
        <v>93</v>
      </c>
      <c r="B70" s="13" t="s">
        <v>238</v>
      </c>
      <c r="C70" s="13" t="s">
        <v>31</v>
      </c>
      <c r="D70" s="13" t="s">
        <v>85</v>
      </c>
      <c r="E70" s="12">
        <v>693</v>
      </c>
      <c r="F70" s="12">
        <v>200</v>
      </c>
      <c r="G70" s="12" t="s">
        <v>228</v>
      </c>
    </row>
    <row r="71" spans="1:7" x14ac:dyDescent="0.25">
      <c r="A71" s="15" t="s">
        <v>93</v>
      </c>
      <c r="B71" s="15" t="s">
        <v>238</v>
      </c>
      <c r="C71" s="15" t="s">
        <v>31</v>
      </c>
      <c r="D71" s="15" t="s">
        <v>74</v>
      </c>
      <c r="E71" s="14">
        <v>235</v>
      </c>
      <c r="F71" s="14">
        <v>200</v>
      </c>
      <c r="G71" s="14" t="s">
        <v>232</v>
      </c>
    </row>
    <row r="72" spans="1:7" x14ac:dyDescent="0.25">
      <c r="A72" s="13" t="s">
        <v>93</v>
      </c>
      <c r="B72" s="13" t="s">
        <v>238</v>
      </c>
      <c r="C72" s="13" t="s">
        <v>31</v>
      </c>
      <c r="D72" s="13" t="s">
        <v>101</v>
      </c>
      <c r="E72" s="12">
        <v>959</v>
      </c>
      <c r="F72" s="12">
        <v>200</v>
      </c>
      <c r="G72" s="12" t="s">
        <v>228</v>
      </c>
    </row>
    <row r="73" spans="1:7" x14ac:dyDescent="0.25">
      <c r="A73" s="15" t="s">
        <v>93</v>
      </c>
      <c r="B73" s="15" t="s">
        <v>238</v>
      </c>
      <c r="C73" s="15" t="s">
        <v>31</v>
      </c>
      <c r="D73" s="15" t="s">
        <v>122</v>
      </c>
      <c r="E73" s="14">
        <v>154</v>
      </c>
      <c r="F73" s="14">
        <v>200</v>
      </c>
      <c r="G73" s="14" t="s">
        <v>229</v>
      </c>
    </row>
    <row r="74" spans="1:7" x14ac:dyDescent="0.25">
      <c r="A74" s="13" t="s">
        <v>93</v>
      </c>
      <c r="B74" s="13" t="s">
        <v>238</v>
      </c>
      <c r="C74" s="13" t="s">
        <v>31</v>
      </c>
      <c r="D74" s="13" t="s">
        <v>107</v>
      </c>
      <c r="E74" s="12">
        <v>288</v>
      </c>
      <c r="F74" s="12">
        <v>200</v>
      </c>
      <c r="G74" s="12" t="s">
        <v>228</v>
      </c>
    </row>
    <row r="75" spans="1:7" x14ac:dyDescent="0.25">
      <c r="A75" s="15" t="s">
        <v>136</v>
      </c>
      <c r="B75" s="15" t="s">
        <v>239</v>
      </c>
      <c r="C75" s="15" t="s">
        <v>23</v>
      </c>
      <c r="D75" s="15" t="s">
        <v>80</v>
      </c>
      <c r="E75" s="14">
        <v>462</v>
      </c>
      <c r="F75" s="14">
        <v>200</v>
      </c>
      <c r="G75" s="14" t="s">
        <v>228</v>
      </c>
    </row>
    <row r="76" spans="1:7" x14ac:dyDescent="0.25">
      <c r="A76" s="13" t="s">
        <v>136</v>
      </c>
      <c r="B76" s="13" t="s">
        <v>239</v>
      </c>
      <c r="C76" s="13" t="s">
        <v>23</v>
      </c>
      <c r="D76" s="13" t="s">
        <v>90</v>
      </c>
      <c r="E76" s="12">
        <v>813</v>
      </c>
      <c r="F76" s="12">
        <v>200</v>
      </c>
      <c r="G76" s="12" t="s">
        <v>228</v>
      </c>
    </row>
    <row r="77" spans="1:7" x14ac:dyDescent="0.25">
      <c r="A77" s="15" t="s">
        <v>136</v>
      </c>
      <c r="B77" s="15" t="s">
        <v>239</v>
      </c>
      <c r="C77" s="15" t="s">
        <v>23</v>
      </c>
      <c r="D77" s="15" t="s">
        <v>104</v>
      </c>
      <c r="E77" s="14">
        <v>1141</v>
      </c>
      <c r="F77" s="14">
        <v>200</v>
      </c>
      <c r="G77" s="14" t="s">
        <v>228</v>
      </c>
    </row>
    <row r="78" spans="1:7" x14ac:dyDescent="0.25">
      <c r="A78" s="13" t="s">
        <v>136</v>
      </c>
      <c r="B78" s="13" t="s">
        <v>239</v>
      </c>
      <c r="C78" s="13" t="s">
        <v>23</v>
      </c>
      <c r="D78" s="13" t="s">
        <v>85</v>
      </c>
      <c r="E78" s="12">
        <v>749</v>
      </c>
      <c r="F78" s="12">
        <v>200</v>
      </c>
      <c r="G78" s="12" t="s">
        <v>228</v>
      </c>
    </row>
    <row r="79" spans="1:7" x14ac:dyDescent="0.25">
      <c r="A79" s="15" t="s">
        <v>136</v>
      </c>
      <c r="B79" s="15" t="s">
        <v>239</v>
      </c>
      <c r="C79" s="15" t="s">
        <v>23</v>
      </c>
      <c r="D79" s="15" t="s">
        <v>74</v>
      </c>
      <c r="E79" s="14">
        <v>184</v>
      </c>
      <c r="F79" s="14">
        <v>200</v>
      </c>
      <c r="G79" s="14" t="s">
        <v>229</v>
      </c>
    </row>
    <row r="80" spans="1:7" x14ac:dyDescent="0.25">
      <c r="A80" s="13" t="s">
        <v>136</v>
      </c>
      <c r="B80" s="13" t="s">
        <v>239</v>
      </c>
      <c r="C80" s="13" t="s">
        <v>23</v>
      </c>
      <c r="D80" s="13" t="s">
        <v>101</v>
      </c>
      <c r="E80" s="12">
        <v>808</v>
      </c>
      <c r="F80" s="12">
        <v>200</v>
      </c>
      <c r="G80" s="12" t="s">
        <v>228</v>
      </c>
    </row>
    <row r="81" spans="1:7" x14ac:dyDescent="0.25">
      <c r="A81" s="15" t="s">
        <v>136</v>
      </c>
      <c r="B81" s="15" t="s">
        <v>239</v>
      </c>
      <c r="C81" s="15" t="s">
        <v>23</v>
      </c>
      <c r="D81" s="15" t="s">
        <v>122</v>
      </c>
      <c r="E81" s="14">
        <v>28</v>
      </c>
      <c r="F81" s="14">
        <v>200</v>
      </c>
      <c r="G81" s="14" t="s">
        <v>229</v>
      </c>
    </row>
    <row r="82" spans="1:7" x14ac:dyDescent="0.25">
      <c r="A82" s="13" t="s">
        <v>136</v>
      </c>
      <c r="B82" s="13" t="s">
        <v>239</v>
      </c>
      <c r="C82" s="13" t="s">
        <v>23</v>
      </c>
      <c r="D82" s="13" t="s">
        <v>107</v>
      </c>
      <c r="E82" s="12">
        <v>541</v>
      </c>
      <c r="F82" s="12">
        <v>200</v>
      </c>
      <c r="G82" s="12" t="s">
        <v>228</v>
      </c>
    </row>
  </sheetData>
  <autoFilter ref="A2:G2" xr:uid="{00000000-0001-0000-05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KPI Dashboard</vt:lpstr>
      <vt:lpstr>📦 PO Data</vt:lpstr>
      <vt:lpstr>🏭 Supplier Scorecard</vt:lpstr>
      <vt:lpstr>🔍 Root Cause</vt:lpstr>
      <vt:lpstr>📅 Monthly Trend</vt:lpstr>
      <vt:lpstr>🏪 Inventory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HARSHVARDHAN GHOLAP</cp:lastModifiedBy>
  <dcterms:created xsi:type="dcterms:W3CDTF">2026-05-24T08:26:18Z</dcterms:created>
  <dcterms:modified xsi:type="dcterms:W3CDTF">2026-05-29T11:07:33Z</dcterms:modified>
</cp:coreProperties>
</file>